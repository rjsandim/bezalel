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o" sheetId="1" state="visible" r:id="rId1"/>
    <sheet name="Guia de execução" sheetId="2" state="visible" r:id="rId2"/>
    <sheet name="Casos de teste" sheetId="3" state="visible" r:id="rId3"/>
    <sheet name="Dados do ambiente" sheetId="4" state="visible" r:id="rId4"/>
    <sheet name="Consultas SQL" sheetId="5" state="visible" r:id="rId5"/>
    <sheet name="Backlog" sheetId="6" state="visible" r:id="rId6"/>
  </sheets>
  <definedNames/>
  <calcPr calcId="0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4B5563"/>
      <sz val="11"/>
    </font>
    <font>
      <name val="Carlito"/>
      <color rgb="FF4B5563"/>
      <sz val="11"/>
    </font>
    <font>
      <name val="Carlito"/>
      <b val="1"/>
      <color rgb="FFFFFFFF"/>
      <sz val="11"/>
    </font>
    <font>
      <name val="Carlito"/>
      <color rgb="FF263746"/>
      <sz val="11"/>
    </font>
    <font>
      <name val="Carlito"/>
      <b val="1"/>
      <color rgb="FF0F6B46"/>
      <sz val="11"/>
    </font>
  </fonts>
  <fills count="8">
    <fill>
      <patternFill/>
    </fill>
    <fill>
      <patternFill patternType="gray125"/>
    </fill>
    <fill>
      <patternFill patternType="solid">
        <fgColor rgb="FF19364D"/>
      </patternFill>
    </fill>
    <fill>
      <patternFill patternType="solid">
        <fgColor rgb="FFDDEBF3"/>
      </patternFill>
    </fill>
    <fill>
      <patternFill patternType="solid">
        <fgColor rgb="FFFDE9BF"/>
      </patternFill>
    </fill>
    <fill>
      <patternFill patternType="solid">
        <fgColor rgb="FF255672"/>
      </patternFill>
    </fill>
    <fill>
      <patternFill patternType="solid">
        <fgColor rgb="FFCBE8F5"/>
      </patternFill>
    </fill>
    <fill>
      <patternFill patternType="solid">
        <fgColor rgb="FFDDF2E5"/>
      </patternFill>
    </fill>
  </fills>
  <borders count="2">
    <border/>
    <border>
      <left style="thin">
        <color rgb="FFB8C8D4"/>
      </left>
      <right style="thin">
        <color rgb="FFB8C8D4"/>
      </right>
      <top style="thin">
        <color rgb="FFB8C8D4"/>
      </top>
      <bottom style="thin">
        <color rgb="FFB8C8D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right" vertical="top" wrapText="1"/>
    </xf>
    <xf numFmtId="9" fontId="5" fillId="0" borderId="1" applyAlignment="1" pivotButton="0" quotePrefix="0" xfId="0">
      <alignment horizontal="right" vertical="top" wrapText="1"/>
    </xf>
    <xf numFmtId="0" fontId="5" fillId="6" borderId="1" applyAlignment="1" pivotButton="0" quotePrefix="0" xfId="0">
      <alignment vertical="top" wrapText="1"/>
    </xf>
    <xf numFmtId="0" fontId="0" fillId="7" borderId="0" pivotButton="0" quotePrefix="0" xfId="0"/>
    <xf numFmtId="0" fontId="6" fillId="7" borderId="0" pivotButton="0" quotePrefix="0" xfId="0"/>
    <xf numFmtId="0" fontId="6" fillId="7" borderId="0" applyAlignment="1" pivotButton="0" quotePrefix="0" xfId="0">
      <alignment wrapText="1"/>
    </xf>
    <xf numFmtId="0" fontId="6" fillId="7" borderId="0" applyAlignment="1" pivotButton="0" quotePrefix="0" xfId="0">
      <alignment vertical="center" wrapText="1"/>
    </xf>
    <xf numFmtId="164" fontId="5" fillId="6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horizontal="right" vertical="top" wrapText="1"/>
    </xf>
    <xf numFmtId="164" fontId="5" fillId="6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Normal" xfId="0"/>
  </cellStyles>
  <dxfs count="11">
    <dxf>
      <font>
        <b val="1"/>
        <color rgb="FF0F6B46"/>
      </font>
      <fill>
        <patternFill patternType="solid">
          <bgColor rgb="FFDDF2E5"/>
        </patternFill>
      </fill>
    </dxf>
    <dxf>
      <font>
        <b val="1"/>
        <color rgb="FFA61B1B"/>
      </font>
      <fill>
        <patternFill patternType="solid">
          <bgColor rgb="FFFCE2E2"/>
        </patternFill>
      </fill>
    </dxf>
    <dxf>
      <font>
        <b val="1"/>
        <color rgb="FF8A5A00"/>
      </font>
      <fill>
        <patternFill patternType="solid">
          <bgColor rgb="FFFFF2CC"/>
        </patternFill>
      </fill>
    </dxf>
    <dxf>
      <font>
        <b val="1"/>
        <color rgb="FF255672"/>
      </font>
      <fill>
        <patternFill patternType="solid">
          <bgColor rgb="FFDDEBF3"/>
        </patternFill>
      </fill>
    </dxf>
    <dxf>
      <font>
        <b val="1"/>
        <color rgb="FF8A5A00"/>
      </font>
      <fill>
        <patternFill patternType="solid">
          <bgColor rgb="FFFFF2CC"/>
        </patternFill>
      </fill>
    </dxf>
    <dxf>
      <font>
        <b val="1"/>
        <color rgb="FF0F6B46"/>
      </font>
      <fill>
        <patternFill patternType="solid">
          <bgColor rgb="FFDDF2E5"/>
        </patternFill>
      </fill>
    </dxf>
    <dxf>
      <font>
        <b val="1"/>
        <color rgb="FFA61B1B"/>
      </font>
      <fill>
        <patternFill patternType="solid">
          <bgColor rgb="FFFCE2E2"/>
        </patternFill>
      </fill>
    </dxf>
    <dxf>
      <font>
        <b val="1"/>
        <color rgb="FF8A5A00"/>
      </font>
      <fill>
        <patternFill patternType="solid">
          <bgColor rgb="FFFFF2CC"/>
        </patternFill>
      </fill>
    </dxf>
    <dxf>
      <font>
        <b val="1"/>
        <color rgb="FF255672"/>
      </font>
      <fill>
        <patternFill patternType="solid">
          <bgColor rgb="FFDDEBF3"/>
        </patternFill>
      </fill>
    </dxf>
    <dxf>
      <font>
        <b val="1"/>
        <color rgb="FF0F6B46"/>
      </font>
      <fill>
        <patternFill patternType="solid">
          <bgColor rgb="FFDDF2E5"/>
        </patternFill>
      </fill>
    </dxf>
    <dxf>
      <font>
        <b val="1"/>
        <color rgb="FFA61B1B"/>
      </font>
      <fill>
        <patternFill patternType="solid">
          <bgColor rgb="FFFC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ExecutionGuideTable" displayName="ExecutionGuideTable" ref="A5:F14" headerRowCount="1" totalsRowCount="0" totalsRowShown="0">
  <autoFilter ref="A5:F14"/>
  <tableColumns count="6">
    <tableColumn id="1" name="Seção"/>
    <tableColumn id="2" name="Item"/>
    <tableColumn id="3" name="Orientação"/>
    <tableColumn id="4" name="Link / valor"/>
    <tableColumn id="5" name="Obrigatório?"/>
    <tableColumn id="6" name="Resultado esper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CasesTable" displayName="TestCasesTable" ref="A5:T205" headerRowCount="1" totalsRowCount="0" totalsRowShown="0">
  <autoFilter ref="A5:T205"/>
  <tableColumns count="20">
    <tableColumn id="1" name="Ordem"/>
    <tableColumn id="2" name="ID"/>
    <tableColumn id="3" name="Prioridade"/>
    <tableColumn id="4" name="Área"/>
    <tableColumn id="5" name="Integração"/>
    <tableColumn id="6" name="Unidade"/>
    <tableColumn id="7" name="Canal / tela"/>
    <tableColumn id="8" name="Família / dados"/>
    <tableColumn id="9" name="Pré-condição"/>
    <tableColumn id="10" name="Passos manuais"/>
    <tableColumn id="11" name="Esperado na interface / API"/>
    <tableColumn id="12" name="Esperado no banco"/>
    <tableColumn id="13" name="SQL IDs"/>
    <tableColumn id="14" name="Evidência a anexar"/>
    <tableColumn id="15" name="Resultado da execução"/>
    <tableColumn id="16" name="Resultado observado"/>
    <tableColumn id="17" name="Data"/>
    <tableColumn id="18" name="Executor"/>
    <tableColumn id="19" name="Ação backlog"/>
    <tableColumn id="20" name="ID backlo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vironmentDataTable" displayName="EnvironmentDataTable" ref="A5:L25" headerRowCount="1" totalsRowCount="0" totalsRowShown="0">
  <autoFilter ref="A5:L25"/>
  <tableColumns count="12">
    <tableColumn id="1" name="Código"/>
    <tableColumn id="2" name="Uso principal"/>
    <tableColumn id="3" name="Unidade"/>
    <tableColumn id="4" name="Integração"/>
    <tableColumn id="5" name="Entidade principal"/>
    <tableColumn id="6" name="Entidades relacionadas"/>
    <tableColumn id="7" name="Estado inicial"/>
    <tableColumn id="8" name="Estado esperado"/>
    <tableColumn id="9" name="IDs úteis"/>
    <tableColumn id="10" name="Link de entrada"/>
    <tableColumn id="11" name="Fonte no banco"/>
    <tableColumn id="12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qlQueriesTable" displayName="SqlQueriesTable" ref="A5:G55" headerRowCount="1" totalsRowCount="0" totalsRowShown="0">
  <autoFilter ref="A5:G55"/>
  <tableColumns count="7">
    <tableColumn id="1" name="SQL ID"/>
    <tableColumn id="2" name="Quando usar"/>
    <tableColumn id="3" name="Objetivo"/>
    <tableColumn id="4" name="Consulta somente leitura"/>
    <tableColumn id="5" name="Esperado antes"/>
    <tableColumn id="6" name="Esperado depois"/>
    <tableColumn id="7" name="Cuidado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cklogTable" displayName="BacklogTable" ref="A5:P105" headerRowCount="1" totalsRowCount="0" totalsRowShown="0">
  <autoFilter ref="A5:P105"/>
  <tableColumns count="16">
    <tableColumn id="1" name="ID backlog"/>
    <tableColumn id="2" name="Teste origem"/>
    <tableColumn id="3" name="Data"/>
    <tableColumn id="4" name="Unidade"/>
    <tableColumn id="5" name="Integração"/>
    <tableColumn id="6" name="Severidade"/>
    <tableColumn id="7" name="Tipo"/>
    <tableColumn id="8" name="Resumo"/>
    <tableColumn id="9" name="Esperado"/>
    <tableColumn id="10" name="Observado"/>
    <tableColumn id="11" name="Evidência / link"/>
    <tableColumn id="12" name="SQL usado"/>
    <tableColumn id="13" name="Responsável"/>
    <tableColumn id="14" name="Status"/>
    <tableColumn id="15" name="Issue / PR"/>
    <tableColumn id="16" name="Retes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20" customWidth="1" min="5" max="5"/>
    <col width="20" customWidth="1" min="6" max="6"/>
    <col width="28" customWidth="1" min="7" max="7"/>
    <col width="24" customWidth="1" min="8" max="8"/>
  </cols>
  <sheetData>
    <row r="1" ht="30" customHeight="1">
      <c r="A1" s="3" t="inlineStr">
        <is>
          <t>Resumo da execução</t>
        </is>
      </c>
    </row>
    <row r="2" ht="24" customHeight="1">
      <c r="A2" s="6" t="inlineStr">
        <is>
          <t>Acompanhamento automático dos casos e do backlog.</t>
        </is>
      </c>
    </row>
    <row r="3" ht="34" customHeight="1">
      <c r="A3" s="10" t="inlineStr">
        <is>
          <t>Preencha Resultado da execução em Casos de teste e registre cada incongruência no Backlog.</t>
        </is>
      </c>
    </row>
    <row r="5">
      <c r="A5" s="16" t="inlineStr">
        <is>
          <t>Indicador</t>
        </is>
      </c>
      <c r="B5" s="16" t="inlineStr">
        <is>
          <t>Valor</t>
        </is>
      </c>
    </row>
    <row r="6">
      <c r="A6" s="20" t="inlineStr">
        <is>
          <t>Total de casos</t>
        </is>
      </c>
      <c r="B6" s="21">
        <f>COUNTA('Casos de teste'!$B$6:$B$205)</f>
        <v/>
      </c>
    </row>
    <row r="7">
      <c r="A7" s="20" t="inlineStr">
        <is>
          <t>Não iniciados</t>
        </is>
      </c>
      <c r="B7" s="21">
        <f>COUNTIF('Casos de teste'!$O$6:$O$205,"Não iniciado")</f>
        <v/>
      </c>
    </row>
    <row r="8">
      <c r="A8" s="20" t="inlineStr">
        <is>
          <t>Em execução</t>
        </is>
      </c>
      <c r="B8" s="21">
        <f>COUNTIF('Casos de teste'!$O$6:$O$205,"Em execução")</f>
        <v/>
      </c>
    </row>
    <row r="9">
      <c r="A9" s="20" t="inlineStr">
        <is>
          <t>Aprovados</t>
        </is>
      </c>
      <c r="B9" s="21">
        <f>COUNTIF('Casos de teste'!$O$6:$O$205,"Aprovado")</f>
        <v/>
      </c>
    </row>
    <row r="10">
      <c r="A10" s="20" t="inlineStr">
        <is>
          <t>Falharam</t>
        </is>
      </c>
      <c r="B10" s="21">
        <f>COUNTIF('Casos de teste'!$O$6:$O$205,"Falhou")</f>
        <v/>
      </c>
    </row>
    <row r="11">
      <c r="A11" s="20" t="inlineStr">
        <is>
          <t>Bloqueados</t>
        </is>
      </c>
      <c r="B11" s="21">
        <f>COUNTIF('Casos de teste'!$O$6:$O$205,"Bloqueado")</f>
        <v/>
      </c>
    </row>
    <row r="12">
      <c r="A12" s="20" t="inlineStr">
        <is>
          <t>Progresso</t>
        </is>
      </c>
      <c r="B12" s="30">
        <f>IF(B6=0,0,(B9+B10+B11)/B6)</f>
        <v/>
      </c>
    </row>
    <row r="13">
      <c r="A13" s="20" t="inlineStr">
        <is>
          <t>Backlog preenchido</t>
        </is>
      </c>
      <c r="B13" s="21">
        <f>COUNTA(Backlog!$A$6:$A$105)</f>
        <v/>
      </c>
    </row>
    <row r="14">
      <c r="A14" s="20" t="inlineStr">
        <is>
          <t>Backlog aberto</t>
        </is>
      </c>
      <c r="B14" s="21">
        <f>COUNTIFS(Backlog!$A$6:$A$105,"&lt;&gt;",Backlog!$N$6:$N$105,"&lt;&gt;Fechado",Backlog!$N$6:$N$105,"&lt;&gt;Descartado")</f>
        <v/>
      </c>
    </row>
    <row r="16">
      <c r="A16" s="12" t="inlineStr">
        <is>
          <t>Matriz de cobertura</t>
        </is>
      </c>
    </row>
    <row r="17">
      <c r="A17" s="16" t="inlineStr">
        <is>
          <t>Dimensão</t>
        </is>
      </c>
      <c r="B17" s="16" t="inlineStr">
        <is>
          <t>UI / API</t>
        </is>
      </c>
      <c r="C17" s="16" t="inlineStr">
        <is>
          <t>Regras</t>
        </is>
      </c>
      <c r="D17" s="16" t="inlineStr">
        <is>
          <t>Dados / setup</t>
        </is>
      </c>
      <c r="E17" s="16" t="inlineStr">
        <is>
          <t>Sucesso</t>
        </is>
      </c>
      <c r="F17" s="16" t="inlineStr">
        <is>
          <t>Falha / retry</t>
        </is>
      </c>
      <c r="G17" s="16" t="inlineStr">
        <is>
          <t>Migração / compatibilidade</t>
        </is>
      </c>
      <c r="H17" s="16" t="inlineStr">
        <is>
          <t>Segurança</t>
        </is>
      </c>
    </row>
    <row r="18">
      <c r="A18" s="23" t="str"/>
      <c r="B18" s="23" t="str"/>
      <c r="C18" s="23" t="str"/>
      <c r="D18" s="23" t="str"/>
      <c r="E18" s="23" t="str"/>
      <c r="F18" s="23" t="str"/>
      <c r="G18" s="23" t="str"/>
      <c r="H18" s="23" t="str"/>
    </row>
    <row r="20" ht="38" customHeight="1">
      <c r="A20" s="27" t="inlineStr">
        <is>
          <t>Critério de aceite geral: Nenhum fluxo deve produzir alteração fora do escopo, atravessar tenants ou integrações, duplicar efeitos ou violar as invariantes do domínio.</t>
        </is>
      </c>
    </row>
  </sheetData>
  <mergeCells count="5">
    <mergeCell ref="A3:H3"/>
    <mergeCell ref="A20:H20"/>
    <mergeCell ref="A2:H2"/>
    <mergeCell ref="A16:H16"/>
    <mergeCell ref="A1:H1"/>
  </mergeCells>
  <conditionalFormatting sqref="B9">
    <cfRule type="dataBar" priority="1">
      <dataBar>
        <cfvo type="min"/>
        <cfvo type="max"/>
        <color rgb="FFDDF2E5"/>
      </dataBar>
    </cfRule>
  </conditionalFormatting>
  <conditionalFormatting sqref="B12">
    <cfRule type="dataBar" priority="2">
      <dataBar>
        <cfvo type="min"/>
        <cfvo type="max"/>
        <color rgb="FF255672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4" customWidth="1" min="3" max="3"/>
    <col width="44" customWidth="1" min="4" max="4"/>
    <col width="18" customWidth="1" min="5" max="5"/>
    <col width="36" customWidth="1" min="6" max="6"/>
  </cols>
  <sheetData>
    <row r="1" ht="30" customHeight="1">
      <c r="A1" s="3" t="inlineStr">
        <is>
          <t>Guia de execução</t>
        </is>
      </c>
    </row>
    <row r="2" ht="24" customHeight="1">
      <c r="A2" s="6" t="inlineStr">
        <is>
          <t>Como executar o roteiro, preservar o baseline e produzir evidências úteis.</t>
        </is>
      </c>
    </row>
    <row r="3" ht="34" customHeight="1">
      <c r="A3" s="10" t="inlineStr">
        <is>
          <t>Use somente ambiente local, sandbox ou homologação. Descubra dados reais antes de preencher os casos.</t>
        </is>
      </c>
    </row>
    <row r="5">
      <c r="A5" s="16" t="inlineStr">
        <is>
          <t>Seção</t>
        </is>
      </c>
      <c r="B5" s="16" t="inlineStr">
        <is>
          <t>Item</t>
        </is>
      </c>
      <c r="C5" s="16" t="inlineStr">
        <is>
          <t>Orientação</t>
        </is>
      </c>
      <c r="D5" s="16" t="inlineStr">
        <is>
          <t>Link / valor</t>
        </is>
      </c>
      <c r="E5" s="16" t="inlineStr">
        <is>
          <t>Obrigatório?</t>
        </is>
      </c>
      <c r="F5" s="16" t="inlineStr">
        <is>
          <t>Resultado esperado</t>
        </is>
      </c>
    </row>
    <row r="6" ht="44" customHeight="1">
      <c r="A6" s="23" t="inlineStr">
        <is>
          <t>Ambiente</t>
        </is>
      </c>
      <c r="B6" s="23" t="inlineStr">
        <is>
          <t>Sandbox / ambiente local</t>
        </is>
      </c>
      <c r="C6" s="23" t="inlineStr">
        <is>
          <t>Confirme tenant, integrações, URLs e credenciais de teste antes de executar casos mutáveis.</t>
        </is>
      </c>
      <c r="D6" s="23" t="inlineStr">
        <is>
          <t>A preencher</t>
        </is>
      </c>
      <c r="E6" s="23" t="inlineStr">
        <is>
          <t>Sim</t>
        </is>
      </c>
      <c r="F6" s="23" t="inlineStr">
        <is>
          <t>Ambiente de teste acessível e isolado.</t>
        </is>
      </c>
    </row>
    <row r="7" ht="44" customHeight="1">
      <c r="A7" s="20" t="inlineStr">
        <is>
          <t>Ordem</t>
        </is>
      </c>
      <c r="B7" s="20" t="inlineStr">
        <is>
          <t>1. Baseline</t>
        </is>
      </c>
      <c r="C7" s="20" t="inlineStr">
        <is>
          <t>Execute as consultas de baseline e preserve as contagens e invariantes iniciais.</t>
        </is>
      </c>
      <c r="D7" s="20" t="inlineStr">
        <is>
          <t>Consulta a definir quando aplicável</t>
        </is>
      </c>
      <c r="E7" s="20" t="inlineStr">
        <is>
          <t>Sim</t>
        </is>
      </c>
      <c r="F7" s="20" t="inlineStr">
        <is>
          <t>Estado inicial verificável.</t>
        </is>
      </c>
    </row>
    <row r="8" ht="44" customHeight="1">
      <c r="A8" s="23" t="inlineStr">
        <is>
          <t>Ordem</t>
        </is>
      </c>
      <c r="B8" s="23" t="inlineStr">
        <is>
          <t>2. Somente leitura</t>
        </is>
      </c>
      <c r="C8" s="23" t="inlineStr">
        <is>
          <t>Execute primeiro os cenários que não alteram o banco nem serviços externos.</t>
        </is>
      </c>
      <c r="D8" s="23" t="inlineStr">
        <is>
          <t>Casos de teste</t>
        </is>
      </c>
      <c r="E8" s="23" t="inlineStr">
        <is>
          <t>Sim</t>
        </is>
      </c>
      <c r="F8" s="23" t="inlineStr">
        <is>
          <t>Nenhuma alteração de estado.</t>
        </is>
      </c>
    </row>
    <row r="9" ht="44" customHeight="1">
      <c r="A9" s="20" t="inlineStr">
        <is>
          <t>Ordem</t>
        </is>
      </c>
      <c r="B9" s="20" t="inlineStr">
        <is>
          <t>3. Casos mutáveis</t>
        </is>
      </c>
      <c r="C9" s="20" t="inlineStr">
        <is>
          <t>Agrupe por integração e registre IDs e timestamps antes de cada bloco.</t>
        </is>
      </c>
      <c r="D9" s="20" t="inlineStr">
        <is>
          <t>Casos de teste</t>
        </is>
      </c>
      <c r="E9" s="20" t="inlineStr">
        <is>
          <t>Quando aplicável</t>
        </is>
      </c>
      <c r="F9" s="20" t="inlineStr">
        <is>
          <t>Mudanças limitadas às entidades esperadas.</t>
        </is>
      </c>
    </row>
    <row r="10" ht="44" customHeight="1">
      <c r="A10" s="23" t="inlineStr">
        <is>
          <t>Ordem</t>
        </is>
      </c>
      <c r="B10" s="23" t="inlineStr">
        <is>
          <t>4. Fechamento</t>
        </is>
      </c>
      <c r="C10" s="23" t="inlineStr">
        <is>
          <t>Repita invariantes globais e confira efeitos cruzados, filas, retries e duplicidade.</t>
        </is>
      </c>
      <c r="D10" s="23" t="inlineStr">
        <is>
          <t>Consultas SQL</t>
        </is>
      </c>
      <c r="E10" s="23" t="inlineStr">
        <is>
          <t>Sim</t>
        </is>
      </c>
      <c r="F10" s="23" t="inlineStr">
        <is>
          <t>Regressão e isolamento confirmados.</t>
        </is>
      </c>
    </row>
    <row r="11" ht="44" customHeight="1">
      <c r="A11" s="20" t="inlineStr">
        <is>
          <t>Evidência</t>
        </is>
      </c>
      <c r="B11" s="20" t="inlineStr">
        <is>
          <t>Interface</t>
        </is>
      </c>
      <c r="C11" s="20" t="inlineStr">
        <is>
          <t>Guarde screenshot sanitizado com ambiente, entidade, status e horário identificáveis.</t>
        </is>
      </c>
      <c r="D11" s="20" t="inlineStr">
        <is>
          <t>Referência externa</t>
        </is>
      </c>
      <c r="E11" s="20" t="inlineStr">
        <is>
          <t>Quando houver UI</t>
        </is>
      </c>
      <c r="F11" s="20" t="inlineStr">
        <is>
          <t>Evidência reproduzível sem dado sensível.</t>
        </is>
      </c>
    </row>
    <row r="12" ht="44" customHeight="1">
      <c r="A12" s="23" t="inlineStr">
        <is>
          <t>Evidência</t>
        </is>
      </c>
      <c r="B12" s="23" t="inlineStr">
        <is>
          <t>API / webhook</t>
        </is>
      </c>
      <c r="C12" s="23" t="inlineStr">
        <is>
          <t>Registre método, rota, status HTTP, timestamp e identificador mascarado; nunca registre segredo.</t>
        </is>
      </c>
      <c r="D12" s="23" t="inlineStr">
        <is>
          <t>Referência externa</t>
        </is>
      </c>
      <c r="E12" s="23" t="inlineStr">
        <is>
          <t>Quando houver API</t>
        </is>
      </c>
      <c r="F12" s="23" t="inlineStr">
        <is>
          <t>Resposta, replay e idempotência verificáveis.</t>
        </is>
      </c>
    </row>
    <row r="13" ht="44" customHeight="1">
      <c r="A13" s="20" t="inlineStr">
        <is>
          <t>Evidência</t>
        </is>
      </c>
      <c r="B13" s="20" t="inlineStr">
        <is>
          <t>Banco</t>
        </is>
      </c>
      <c r="C13" s="20" t="inlineStr">
        <is>
          <t>Confronte a consulta somente leitura antes e depois e registre apenas o resultado necessário.</t>
        </is>
      </c>
      <c r="D13" s="20" t="inlineStr">
        <is>
          <t>Consultas SQL</t>
        </is>
      </c>
      <c r="E13" s="20" t="inlineStr">
        <is>
          <t>Em caso mutável</t>
        </is>
      </c>
      <c r="F13" s="20" t="inlineStr">
        <is>
          <t>Mudança limitada ao esperado.</t>
        </is>
      </c>
    </row>
    <row r="14" ht="44" customHeight="1">
      <c r="A14" s="23" t="inlineStr">
        <is>
          <t>Backlog</t>
        </is>
      </c>
      <c r="B14" s="23" t="inlineStr">
        <is>
          <t>Quando criar</t>
        </is>
      </c>
      <c r="C14" s="23" t="inlineStr">
        <is>
          <t>Crie uma linha para Falhou, Bloqueado, divergência de dados ou efeito colateral.</t>
        </is>
      </c>
      <c r="D14" s="23" t="inlineStr">
        <is>
          <t>Ação backlog</t>
        </is>
      </c>
      <c r="E14" s="23" t="inlineStr">
        <is>
          <t>Sim</t>
        </is>
      </c>
      <c r="F14" s="23" t="inlineStr">
        <is>
          <t>Incongruência relacionada ao teste de origem.</t>
        </is>
      </c>
    </row>
  </sheetData>
  <mergeCells count="3">
    <mergeCell ref="A3:F3"/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20" customWidth="1" min="4" max="4"/>
    <col width="18" customWidth="1" min="5" max="5"/>
    <col width="16" customWidth="1" min="6" max="6"/>
    <col width="24" customWidth="1" min="7" max="7"/>
    <col width="28" customWidth="1" min="8" max="8"/>
    <col width="34" customWidth="1" min="9" max="9"/>
    <col width="42" customWidth="1" min="10" max="10"/>
    <col width="42" customWidth="1" min="11" max="11"/>
    <col width="42" customWidth="1" min="12" max="12"/>
    <col width="12" customWidth="1" min="13" max="13"/>
    <col width="32" customWidth="1" min="14" max="14"/>
    <col width="20" customWidth="1" min="15" max="15"/>
    <col width="42" customWidth="1" min="16" max="16"/>
    <col width="13" customWidth="1" min="17" max="17"/>
    <col width="16" customWidth="1" min="18" max="18"/>
    <col width="16" customWidth="1" min="19" max="19"/>
    <col width="14" customWidth="1" min="20" max="20"/>
  </cols>
  <sheetData>
    <row r="1" ht="30" customHeight="1">
      <c r="A1" s="3" t="inlineStr">
        <is>
          <t>Plano manual — desenvolvimento</t>
        </is>
      </c>
    </row>
    <row r="2" ht="24" customHeight="1">
      <c r="A2" s="6" t="inlineStr">
        <is>
          <t>Roteiro executável para confrontar comportamento, persistência e regressão.</t>
        </is>
      </c>
    </row>
    <row r="3" ht="34" customHeight="1">
      <c r="A3" s="10" t="inlineStr">
        <is>
          <t>Use somente ambiente local, sandbox ou homologação. Descubra dados reais antes de preencher os casos.</t>
        </is>
      </c>
    </row>
    <row r="5" ht="22" customHeight="1">
      <c r="A5" s="16" t="inlineStr">
        <is>
          <t>Ordem</t>
        </is>
      </c>
      <c r="B5" s="16" t="inlineStr">
        <is>
          <t>ID</t>
        </is>
      </c>
      <c r="C5" s="16" t="inlineStr">
        <is>
          <t>Prioridade</t>
        </is>
      </c>
      <c r="D5" s="16" t="inlineStr">
        <is>
          <t>Área</t>
        </is>
      </c>
      <c r="E5" s="16" t="inlineStr">
        <is>
          <t>Integração</t>
        </is>
      </c>
      <c r="F5" s="16" t="inlineStr">
        <is>
          <t>Unidade</t>
        </is>
      </c>
      <c r="G5" s="16" t="inlineStr">
        <is>
          <t>Canal / tela</t>
        </is>
      </c>
      <c r="H5" s="16" t="inlineStr">
        <is>
          <t>Família / dados</t>
        </is>
      </c>
      <c r="I5" s="16" t="inlineStr">
        <is>
          <t>Pré-condição</t>
        </is>
      </c>
      <c r="J5" s="16" t="inlineStr">
        <is>
          <t>Passos manuais</t>
        </is>
      </c>
      <c r="K5" s="16" t="inlineStr">
        <is>
          <t>Esperado na interface / API</t>
        </is>
      </c>
      <c r="L5" s="16" t="inlineStr">
        <is>
          <t>Esperado no banco</t>
        </is>
      </c>
      <c r="M5" s="16" t="inlineStr">
        <is>
          <t>SQL IDs</t>
        </is>
      </c>
      <c r="N5" s="16" t="inlineStr">
        <is>
          <t>Evidência a anexar</t>
        </is>
      </c>
      <c r="O5" s="16" t="inlineStr">
        <is>
          <t>Resultado da execução</t>
        </is>
      </c>
      <c r="P5" s="16" t="inlineStr">
        <is>
          <t>Resultado observado</t>
        </is>
      </c>
      <c r="Q5" s="16" t="inlineStr">
        <is>
          <t>Data</t>
        </is>
      </c>
      <c r="R5" s="16" t="inlineStr">
        <is>
          <t>Executor</t>
        </is>
      </c>
      <c r="S5" s="16" t="inlineStr">
        <is>
          <t>Ação backlog</t>
        </is>
      </c>
      <c r="T5" s="16" t="inlineStr">
        <is>
          <t>ID backlog</t>
        </is>
      </c>
    </row>
    <row r="6" ht="22" customHeight="1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31" t="n"/>
      <c r="R6" s="23" t="n"/>
      <c r="S6" s="23">
        <f>IF(OR(O6="Falhou",O6="Bloqueado"),"Criar item","")</f>
        <v/>
      </c>
      <c r="T6" s="23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32" t="n"/>
      <c r="R7" s="20" t="n"/>
      <c r="S7" s="20">
        <f>IF(OR(O7="Falhou",O7="Bloqueado"),"Criar item","")</f>
        <v/>
      </c>
      <c r="T7" s="20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31" t="n"/>
      <c r="R8" s="23" t="n"/>
      <c r="S8" s="23">
        <f>IF(OR(O8="Falhou",O8="Bloqueado"),"Criar item","")</f>
        <v/>
      </c>
      <c r="T8" s="23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32" t="n"/>
      <c r="R9" s="20" t="n"/>
      <c r="S9" s="20">
        <f>IF(OR(O9="Falhou",O9="Bloqueado"),"Criar item","")</f>
        <v/>
      </c>
      <c r="T9" s="20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31" t="n"/>
      <c r="R10" s="23" t="n"/>
      <c r="S10" s="23">
        <f>IF(OR(O10="Falhou",O10="Bloqueado"),"Criar item","")</f>
        <v/>
      </c>
      <c r="T10" s="23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32" t="n"/>
      <c r="R11" s="20" t="n"/>
      <c r="S11" s="20">
        <f>IF(OR(O11="Falhou",O11="Bloqueado"),"Criar item","")</f>
        <v/>
      </c>
      <c r="T11" s="20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31" t="n"/>
      <c r="R12" s="23" t="n"/>
      <c r="S12" s="23">
        <f>IF(OR(O12="Falhou",O12="Bloqueado"),"Criar item","")</f>
        <v/>
      </c>
      <c r="T12" s="23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32" t="n"/>
      <c r="R13" s="20" t="n"/>
      <c r="S13" s="20">
        <f>IF(OR(O13="Falhou",O13="Bloqueado"),"Criar item","")</f>
        <v/>
      </c>
      <c r="T13" s="20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31" t="n"/>
      <c r="R14" s="23" t="n"/>
      <c r="S14" s="23">
        <f>IF(OR(O14="Falhou",O14="Bloqueado"),"Criar item","")</f>
        <v/>
      </c>
      <c r="T14" s="23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32" t="n"/>
      <c r="R15" s="20" t="n"/>
      <c r="S15" s="20">
        <f>IF(OR(O15="Falhou",O15="Bloqueado"),"Criar item","")</f>
        <v/>
      </c>
      <c r="T15" s="20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31" t="n"/>
      <c r="R16" s="23" t="n"/>
      <c r="S16" s="23">
        <f>IF(OR(O16="Falhou",O16="Bloqueado"),"Criar item","")</f>
        <v/>
      </c>
      <c r="T16" s="23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32" t="n"/>
      <c r="R17" s="20" t="n"/>
      <c r="S17" s="20">
        <f>IF(OR(O17="Falhou",O17="Bloqueado"),"Criar item","")</f>
        <v/>
      </c>
      <c r="T17" s="20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31" t="n"/>
      <c r="R18" s="23" t="n"/>
      <c r="S18" s="23">
        <f>IF(OR(O18="Falhou",O18="Bloqueado"),"Criar item","")</f>
        <v/>
      </c>
      <c r="T18" s="23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32" t="n"/>
      <c r="R19" s="20" t="n"/>
      <c r="S19" s="20">
        <f>IF(OR(O19="Falhou",O19="Bloqueado"),"Criar item","")</f>
        <v/>
      </c>
      <c r="T19" s="20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31" t="n"/>
      <c r="R20" s="23" t="n"/>
      <c r="S20" s="23">
        <f>IF(OR(O20="Falhou",O20="Bloqueado"),"Criar item","")</f>
        <v/>
      </c>
      <c r="T20" s="23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32" t="n"/>
      <c r="R21" s="20" t="n"/>
      <c r="S21" s="20">
        <f>IF(OR(O21="Falhou",O21="Bloqueado"),"Criar item","")</f>
        <v/>
      </c>
      <c r="T21" s="20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31" t="n"/>
      <c r="R22" s="23" t="n"/>
      <c r="S22" s="23">
        <f>IF(OR(O22="Falhou",O22="Bloqueado"),"Criar item","")</f>
        <v/>
      </c>
      <c r="T22" s="23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32" t="n"/>
      <c r="R23" s="20" t="n"/>
      <c r="S23" s="20">
        <f>IF(OR(O23="Falhou",O23="Bloqueado"),"Criar item","")</f>
        <v/>
      </c>
      <c r="T23" s="20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31" t="n"/>
      <c r="R24" s="23" t="n"/>
      <c r="S24" s="23">
        <f>IF(OR(O24="Falhou",O24="Bloqueado"),"Criar item","")</f>
        <v/>
      </c>
      <c r="T24" s="23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32" t="n"/>
      <c r="R25" s="20" t="n"/>
      <c r="S25" s="20">
        <f>IF(OR(O25="Falhou",O25="Bloqueado"),"Criar item","")</f>
        <v/>
      </c>
      <c r="T25" s="20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31" t="n"/>
      <c r="R26" s="23" t="n"/>
      <c r="S26" s="23">
        <f>IF(OR(O26="Falhou",O26="Bloqueado"),"Criar item","")</f>
        <v/>
      </c>
      <c r="T26" s="23" t="n"/>
    </row>
    <row r="27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32" t="n"/>
      <c r="R27" s="20" t="n"/>
      <c r="S27" s="20">
        <f>IF(OR(O27="Falhou",O27="Bloqueado"),"Criar item","")</f>
        <v/>
      </c>
      <c r="T27" s="20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31" t="n"/>
      <c r="R28" s="23" t="n"/>
      <c r="S28" s="23">
        <f>IF(OR(O28="Falhou",O28="Bloqueado"),"Criar item","")</f>
        <v/>
      </c>
      <c r="T28" s="23" t="n"/>
    </row>
    <row r="29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32" t="n"/>
      <c r="R29" s="20" t="n"/>
      <c r="S29" s="20">
        <f>IF(OR(O29="Falhou",O29="Bloqueado"),"Criar item","")</f>
        <v/>
      </c>
      <c r="T29" s="20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31" t="n"/>
      <c r="R30" s="23" t="n"/>
      <c r="S30" s="23">
        <f>IF(OR(O30="Falhou",O30="Bloqueado"),"Criar item","")</f>
        <v/>
      </c>
      <c r="T30" s="23" t="n"/>
    </row>
    <row r="3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32" t="n"/>
      <c r="R31" s="20" t="n"/>
      <c r="S31" s="20">
        <f>IF(OR(O31="Falhou",O31="Bloqueado"),"Criar item","")</f>
        <v/>
      </c>
      <c r="T31" s="20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31" t="n"/>
      <c r="R32" s="23" t="n"/>
      <c r="S32" s="23">
        <f>IF(OR(O32="Falhou",O32="Bloqueado"),"Criar item","")</f>
        <v/>
      </c>
      <c r="T32" s="23" t="n"/>
    </row>
    <row r="33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32" t="n"/>
      <c r="R33" s="20" t="n"/>
      <c r="S33" s="20">
        <f>IF(OR(O33="Falhou",O33="Bloqueado"),"Criar item","")</f>
        <v/>
      </c>
      <c r="T33" s="20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31" t="n"/>
      <c r="R34" s="23" t="n"/>
      <c r="S34" s="23">
        <f>IF(OR(O34="Falhou",O34="Bloqueado"),"Criar item","")</f>
        <v/>
      </c>
      <c r="T34" s="23" t="n"/>
    </row>
    <row r="35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32" t="n"/>
      <c r="R35" s="20" t="n"/>
      <c r="S35" s="20">
        <f>IF(OR(O35="Falhou",O35="Bloqueado"),"Criar item","")</f>
        <v/>
      </c>
      <c r="T35" s="20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31" t="n"/>
      <c r="R36" s="23" t="n"/>
      <c r="S36" s="23">
        <f>IF(OR(O36="Falhou",O36="Bloqueado"),"Criar item","")</f>
        <v/>
      </c>
      <c r="T36" s="23" t="n"/>
    </row>
    <row r="37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32" t="n"/>
      <c r="R37" s="20" t="n"/>
      <c r="S37" s="20">
        <f>IF(OR(O37="Falhou",O37="Bloqueado"),"Criar item","")</f>
        <v/>
      </c>
      <c r="T37" s="20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31" t="n"/>
      <c r="R38" s="23" t="n"/>
      <c r="S38" s="23">
        <f>IF(OR(O38="Falhou",O38="Bloqueado"),"Criar item","")</f>
        <v/>
      </c>
      <c r="T38" s="23" t="n"/>
    </row>
    <row r="39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32" t="n"/>
      <c r="R39" s="20" t="n"/>
      <c r="S39" s="20">
        <f>IF(OR(O39="Falhou",O39="Bloqueado"),"Criar item","")</f>
        <v/>
      </c>
      <c r="T39" s="20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31" t="n"/>
      <c r="R40" s="23" t="n"/>
      <c r="S40" s="23">
        <f>IF(OR(O40="Falhou",O40="Bloqueado"),"Criar item","")</f>
        <v/>
      </c>
      <c r="T40" s="23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32" t="n"/>
      <c r="R41" s="20" t="n"/>
      <c r="S41" s="20">
        <f>IF(OR(O41="Falhou",O41="Bloqueado"),"Criar item","")</f>
        <v/>
      </c>
      <c r="T41" s="20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31" t="n"/>
      <c r="R42" s="23" t="n"/>
      <c r="S42" s="23">
        <f>IF(OR(O42="Falhou",O42="Bloqueado"),"Criar item","")</f>
        <v/>
      </c>
      <c r="T42" s="23" t="n"/>
    </row>
    <row r="43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32" t="n"/>
      <c r="R43" s="20" t="n"/>
      <c r="S43" s="20">
        <f>IF(OR(O43="Falhou",O43="Bloqueado"),"Criar item","")</f>
        <v/>
      </c>
      <c r="T43" s="20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31" t="n"/>
      <c r="R44" s="23" t="n"/>
      <c r="S44" s="23">
        <f>IF(OR(O44="Falhou",O44="Bloqueado"),"Criar item","")</f>
        <v/>
      </c>
      <c r="T44" s="23" t="n"/>
    </row>
    <row r="45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32" t="n"/>
      <c r="R45" s="20" t="n"/>
      <c r="S45" s="20">
        <f>IF(OR(O45="Falhou",O45="Bloqueado"),"Criar item","")</f>
        <v/>
      </c>
      <c r="T45" s="20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31" t="n"/>
      <c r="R46" s="23" t="n"/>
      <c r="S46" s="23">
        <f>IF(OR(O46="Falhou",O46="Bloqueado"),"Criar item","")</f>
        <v/>
      </c>
      <c r="T46" s="23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32" t="n"/>
      <c r="R47" s="20" t="n"/>
      <c r="S47" s="20">
        <f>IF(OR(O47="Falhou",O47="Bloqueado"),"Criar item","")</f>
        <v/>
      </c>
      <c r="T47" s="20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31" t="n"/>
      <c r="R48" s="23" t="n"/>
      <c r="S48" s="23">
        <f>IF(OR(O48="Falhou",O48="Bloqueado"),"Criar item","")</f>
        <v/>
      </c>
      <c r="T48" s="23" t="n"/>
    </row>
    <row r="49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32" t="n"/>
      <c r="R49" s="20" t="n"/>
      <c r="S49" s="20">
        <f>IF(OR(O49="Falhou",O49="Bloqueado"),"Criar item","")</f>
        <v/>
      </c>
      <c r="T49" s="20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31" t="n"/>
      <c r="R50" s="23" t="n"/>
      <c r="S50" s="23">
        <f>IF(OR(O50="Falhou",O50="Bloqueado"),"Criar item","")</f>
        <v/>
      </c>
      <c r="T50" s="23" t="n"/>
    </row>
    <row r="5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32" t="n"/>
      <c r="R51" s="20" t="n"/>
      <c r="S51" s="20">
        <f>IF(OR(O51="Falhou",O51="Bloqueado"),"Criar item","")</f>
        <v/>
      </c>
      <c r="T51" s="20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31" t="n"/>
      <c r="R52" s="23" t="n"/>
      <c r="S52" s="23">
        <f>IF(OR(O52="Falhou",O52="Bloqueado"),"Criar item","")</f>
        <v/>
      </c>
      <c r="T52" s="23" t="n"/>
    </row>
    <row r="53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32" t="n"/>
      <c r="R53" s="20" t="n"/>
      <c r="S53" s="20">
        <f>IF(OR(O53="Falhou",O53="Bloqueado"),"Criar item","")</f>
        <v/>
      </c>
      <c r="T53" s="20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31" t="n"/>
      <c r="R54" s="23" t="n"/>
      <c r="S54" s="23">
        <f>IF(OR(O54="Falhou",O54="Bloqueado"),"Criar item","")</f>
        <v/>
      </c>
      <c r="T54" s="23" t="n"/>
    </row>
    <row r="55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32" t="n"/>
      <c r="R55" s="20" t="n"/>
      <c r="S55" s="20">
        <f>IF(OR(O55="Falhou",O55="Bloqueado"),"Criar item","")</f>
        <v/>
      </c>
      <c r="T55" s="20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31" t="n"/>
      <c r="R56" s="23" t="n"/>
      <c r="S56" s="23">
        <f>IF(OR(O56="Falhou",O56="Bloqueado"),"Criar item","")</f>
        <v/>
      </c>
      <c r="T56" s="23" t="n"/>
    </row>
    <row r="57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32" t="n"/>
      <c r="R57" s="20" t="n"/>
      <c r="S57" s="20">
        <f>IF(OR(O57="Falhou",O57="Bloqueado"),"Criar item","")</f>
        <v/>
      </c>
      <c r="T57" s="20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31" t="n"/>
      <c r="R58" s="23" t="n"/>
      <c r="S58" s="23">
        <f>IF(OR(O58="Falhou",O58="Bloqueado"),"Criar item","")</f>
        <v/>
      </c>
      <c r="T58" s="23" t="n"/>
    </row>
    <row r="59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32" t="n"/>
      <c r="R59" s="20" t="n"/>
      <c r="S59" s="20">
        <f>IF(OR(O59="Falhou",O59="Bloqueado"),"Criar item","")</f>
        <v/>
      </c>
      <c r="T59" s="20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31" t="n"/>
      <c r="R60" s="23" t="n"/>
      <c r="S60" s="23">
        <f>IF(OR(O60="Falhou",O60="Bloqueado"),"Criar item","")</f>
        <v/>
      </c>
      <c r="T60" s="23" t="n"/>
    </row>
    <row r="6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32" t="n"/>
      <c r="R61" s="20" t="n"/>
      <c r="S61" s="20">
        <f>IF(OR(O61="Falhou",O61="Bloqueado"),"Criar item","")</f>
        <v/>
      </c>
      <c r="T61" s="20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31" t="n"/>
      <c r="R62" s="23" t="n"/>
      <c r="S62" s="23">
        <f>IF(OR(O62="Falhou",O62="Bloqueado"),"Criar item","")</f>
        <v/>
      </c>
      <c r="T62" s="23" t="n"/>
    </row>
    <row r="63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32" t="n"/>
      <c r="R63" s="20" t="n"/>
      <c r="S63" s="20">
        <f>IF(OR(O63="Falhou",O63="Bloqueado"),"Criar item","")</f>
        <v/>
      </c>
      <c r="T63" s="20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31" t="n"/>
      <c r="R64" s="23" t="n"/>
      <c r="S64" s="23">
        <f>IF(OR(O64="Falhou",O64="Bloqueado"),"Criar item","")</f>
        <v/>
      </c>
      <c r="T64" s="23" t="n"/>
    </row>
    <row r="65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32" t="n"/>
      <c r="R65" s="20" t="n"/>
      <c r="S65" s="20">
        <f>IF(OR(O65="Falhou",O65="Bloqueado"),"Criar item","")</f>
        <v/>
      </c>
      <c r="T65" s="20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31" t="n"/>
      <c r="R66" s="23" t="n"/>
      <c r="S66" s="23">
        <f>IF(OR(O66="Falhou",O66="Bloqueado"),"Criar item","")</f>
        <v/>
      </c>
      <c r="T66" s="23" t="n"/>
    </row>
    <row r="67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32" t="n"/>
      <c r="R67" s="20" t="n"/>
      <c r="S67" s="20">
        <f>IF(OR(O67="Falhou",O67="Bloqueado"),"Criar item","")</f>
        <v/>
      </c>
      <c r="T67" s="20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31" t="n"/>
      <c r="R68" s="23" t="n"/>
      <c r="S68" s="23">
        <f>IF(OR(O68="Falhou",O68="Bloqueado"),"Criar item","")</f>
        <v/>
      </c>
      <c r="T68" s="23" t="n"/>
    </row>
    <row r="69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32" t="n"/>
      <c r="R69" s="20" t="n"/>
      <c r="S69" s="20">
        <f>IF(OR(O69="Falhou",O69="Bloqueado"),"Criar item","")</f>
        <v/>
      </c>
      <c r="T69" s="20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31" t="n"/>
      <c r="R70" s="23" t="n"/>
      <c r="S70" s="23">
        <f>IF(OR(O70="Falhou",O70="Bloqueado"),"Criar item","")</f>
        <v/>
      </c>
      <c r="T70" s="23" t="n"/>
    </row>
    <row r="7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32" t="n"/>
      <c r="R71" s="20" t="n"/>
      <c r="S71" s="20">
        <f>IF(OR(O71="Falhou",O71="Bloqueado"),"Criar item","")</f>
        <v/>
      </c>
      <c r="T71" s="20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31" t="n"/>
      <c r="R72" s="23" t="n"/>
      <c r="S72" s="23">
        <f>IF(OR(O72="Falhou",O72="Bloqueado"),"Criar item","")</f>
        <v/>
      </c>
      <c r="T72" s="23" t="n"/>
    </row>
    <row r="73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32" t="n"/>
      <c r="R73" s="20" t="n"/>
      <c r="S73" s="20">
        <f>IF(OR(O73="Falhou",O73="Bloqueado"),"Criar item","")</f>
        <v/>
      </c>
      <c r="T73" s="20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31" t="n"/>
      <c r="R74" s="23" t="n"/>
      <c r="S74" s="23">
        <f>IF(OR(O74="Falhou",O74="Bloqueado"),"Criar item","")</f>
        <v/>
      </c>
      <c r="T74" s="23" t="n"/>
    </row>
    <row r="75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32" t="n"/>
      <c r="R75" s="20" t="n"/>
      <c r="S75" s="20">
        <f>IF(OR(O75="Falhou",O75="Bloqueado"),"Criar item","")</f>
        <v/>
      </c>
      <c r="T75" s="20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31" t="n"/>
      <c r="R76" s="23" t="n"/>
      <c r="S76" s="23">
        <f>IF(OR(O76="Falhou",O76="Bloqueado"),"Criar item","")</f>
        <v/>
      </c>
      <c r="T76" s="23" t="n"/>
    </row>
    <row r="77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32" t="n"/>
      <c r="R77" s="20" t="n"/>
      <c r="S77" s="20">
        <f>IF(OR(O77="Falhou",O77="Bloqueado"),"Criar item","")</f>
        <v/>
      </c>
      <c r="T77" s="20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31" t="n"/>
      <c r="R78" s="23" t="n"/>
      <c r="S78" s="23">
        <f>IF(OR(O78="Falhou",O78="Bloqueado"),"Criar item","")</f>
        <v/>
      </c>
      <c r="T78" s="23" t="n"/>
    </row>
    <row r="79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32" t="n"/>
      <c r="R79" s="20" t="n"/>
      <c r="S79" s="20">
        <f>IF(OR(O79="Falhou",O79="Bloqueado"),"Criar item","")</f>
        <v/>
      </c>
      <c r="T79" s="20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31" t="n"/>
      <c r="R80" s="23" t="n"/>
      <c r="S80" s="23">
        <f>IF(OR(O80="Falhou",O80="Bloqueado"),"Criar item","")</f>
        <v/>
      </c>
      <c r="T80" s="23" t="n"/>
    </row>
    <row r="8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32" t="n"/>
      <c r="R81" s="20" t="n"/>
      <c r="S81" s="20">
        <f>IF(OR(O81="Falhou",O81="Bloqueado"),"Criar item","")</f>
        <v/>
      </c>
      <c r="T81" s="20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31" t="n"/>
      <c r="R82" s="23" t="n"/>
      <c r="S82" s="23">
        <f>IF(OR(O82="Falhou",O82="Bloqueado"),"Criar item","")</f>
        <v/>
      </c>
      <c r="T82" s="23" t="n"/>
    </row>
    <row r="83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32" t="n"/>
      <c r="R83" s="20" t="n"/>
      <c r="S83" s="20">
        <f>IF(OR(O83="Falhou",O83="Bloqueado"),"Criar item","")</f>
        <v/>
      </c>
      <c r="T83" s="20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31" t="n"/>
      <c r="R84" s="23" t="n"/>
      <c r="S84" s="23">
        <f>IF(OR(O84="Falhou",O84="Bloqueado"),"Criar item","")</f>
        <v/>
      </c>
      <c r="T84" s="23" t="n"/>
    </row>
    <row r="85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32" t="n"/>
      <c r="R85" s="20" t="n"/>
      <c r="S85" s="20">
        <f>IF(OR(O85="Falhou",O85="Bloqueado"),"Criar item","")</f>
        <v/>
      </c>
      <c r="T85" s="20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31" t="n"/>
      <c r="R86" s="23" t="n"/>
      <c r="S86" s="23">
        <f>IF(OR(O86="Falhou",O86="Bloqueado"),"Criar item","")</f>
        <v/>
      </c>
      <c r="T86" s="23" t="n"/>
    </row>
    <row r="87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32" t="n"/>
      <c r="R87" s="20" t="n"/>
      <c r="S87" s="20">
        <f>IF(OR(O87="Falhou",O87="Bloqueado"),"Criar item","")</f>
        <v/>
      </c>
      <c r="T87" s="20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31" t="n"/>
      <c r="R88" s="23" t="n"/>
      <c r="S88" s="23">
        <f>IF(OR(O88="Falhou",O88="Bloqueado"),"Criar item","")</f>
        <v/>
      </c>
      <c r="T88" s="23" t="n"/>
    </row>
    <row r="89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32" t="n"/>
      <c r="R89" s="20" t="n"/>
      <c r="S89" s="20">
        <f>IF(OR(O89="Falhou",O89="Bloqueado"),"Criar item","")</f>
        <v/>
      </c>
      <c r="T89" s="20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31" t="n"/>
      <c r="R90" s="23" t="n"/>
      <c r="S90" s="23">
        <f>IF(OR(O90="Falhou",O90="Bloqueado"),"Criar item","")</f>
        <v/>
      </c>
      <c r="T90" s="23" t="n"/>
    </row>
    <row r="9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32" t="n"/>
      <c r="R91" s="20" t="n"/>
      <c r="S91" s="20">
        <f>IF(OR(O91="Falhou",O91="Bloqueado"),"Criar item","")</f>
        <v/>
      </c>
      <c r="T91" s="20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31" t="n"/>
      <c r="R92" s="23" t="n"/>
      <c r="S92" s="23">
        <f>IF(OR(O92="Falhou",O92="Bloqueado"),"Criar item","")</f>
        <v/>
      </c>
      <c r="T92" s="23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32" t="n"/>
      <c r="R93" s="20" t="n"/>
      <c r="S93" s="20">
        <f>IF(OR(O93="Falhou",O93="Bloqueado"),"Criar item","")</f>
        <v/>
      </c>
      <c r="T93" s="20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31" t="n"/>
      <c r="R94" s="23" t="n"/>
      <c r="S94" s="23">
        <f>IF(OR(O94="Falhou",O94="Bloqueado"),"Criar item","")</f>
        <v/>
      </c>
      <c r="T94" s="23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32" t="n"/>
      <c r="R95" s="20" t="n"/>
      <c r="S95" s="20">
        <f>IF(OR(O95="Falhou",O95="Bloqueado"),"Criar item","")</f>
        <v/>
      </c>
      <c r="T95" s="20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31" t="n"/>
      <c r="R96" s="23" t="n"/>
      <c r="S96" s="23">
        <f>IF(OR(O96="Falhou",O96="Bloqueado"),"Criar item","")</f>
        <v/>
      </c>
      <c r="T96" s="23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32" t="n"/>
      <c r="R97" s="20" t="n"/>
      <c r="S97" s="20">
        <f>IF(OR(O97="Falhou",O97="Bloqueado"),"Criar item","")</f>
        <v/>
      </c>
      <c r="T97" s="20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31" t="n"/>
      <c r="R98" s="23" t="n"/>
      <c r="S98" s="23">
        <f>IF(OR(O98="Falhou",O98="Bloqueado"),"Criar item","")</f>
        <v/>
      </c>
      <c r="T98" s="23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32" t="n"/>
      <c r="R99" s="20" t="n"/>
      <c r="S99" s="20">
        <f>IF(OR(O99="Falhou",O99="Bloqueado"),"Criar item","")</f>
        <v/>
      </c>
      <c r="T99" s="20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31" t="n"/>
      <c r="R100" s="23" t="n"/>
      <c r="S100" s="23">
        <f>IF(OR(O100="Falhou",O100="Bloqueado"),"Criar item","")</f>
        <v/>
      </c>
      <c r="T100" s="23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32" t="n"/>
      <c r="R101" s="20" t="n"/>
      <c r="S101" s="20">
        <f>IF(OR(O101="Falhou",O101="Bloqueado"),"Criar item","")</f>
        <v/>
      </c>
      <c r="T101" s="20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31" t="n"/>
      <c r="R102" s="23" t="n"/>
      <c r="S102" s="23">
        <f>IF(OR(O102="Falhou",O102="Bloqueado"),"Criar item","")</f>
        <v/>
      </c>
      <c r="T102" s="23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32" t="n"/>
      <c r="R103" s="20" t="n"/>
      <c r="S103" s="20">
        <f>IF(OR(O103="Falhou",O103="Bloqueado"),"Criar item","")</f>
        <v/>
      </c>
      <c r="T103" s="20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31" t="n"/>
      <c r="R104" s="23" t="n"/>
      <c r="S104" s="23">
        <f>IF(OR(O104="Falhou",O104="Bloqueado"),"Criar item","")</f>
        <v/>
      </c>
      <c r="T104" s="23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32" t="n"/>
      <c r="R105" s="20" t="n"/>
      <c r="S105" s="20">
        <f>IF(OR(O105="Falhou",O105="Bloqueado"),"Criar item","")</f>
        <v/>
      </c>
      <c r="T105" s="20" t="n"/>
    </row>
    <row r="106">
      <c r="A106" s="23" t="n"/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31" t="n"/>
      <c r="R106" s="23" t="n"/>
      <c r="S106" s="23">
        <f>IF(OR(O106="Falhou",O106="Bloqueado"),"Criar item","")</f>
        <v/>
      </c>
      <c r="T106" s="23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32" t="n"/>
      <c r="R107" s="20" t="n"/>
      <c r="S107" s="20">
        <f>IF(OR(O107="Falhou",O107="Bloqueado"),"Criar item","")</f>
        <v/>
      </c>
      <c r="T107" s="20" t="n"/>
    </row>
    <row r="108">
      <c r="A108" s="23" t="n"/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31" t="n"/>
      <c r="R108" s="23" t="n"/>
      <c r="S108" s="23">
        <f>IF(OR(O108="Falhou",O108="Bloqueado"),"Criar item","")</f>
        <v/>
      </c>
      <c r="T108" s="23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32" t="n"/>
      <c r="R109" s="20" t="n"/>
      <c r="S109" s="20">
        <f>IF(OR(O109="Falhou",O109="Bloqueado"),"Criar item","")</f>
        <v/>
      </c>
      <c r="T109" s="20" t="n"/>
    </row>
    <row r="110">
      <c r="A110" s="23" t="n"/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31" t="n"/>
      <c r="R110" s="23" t="n"/>
      <c r="S110" s="23">
        <f>IF(OR(O110="Falhou",O110="Bloqueado"),"Criar item","")</f>
        <v/>
      </c>
      <c r="T110" s="23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32" t="n"/>
      <c r="R111" s="20" t="n"/>
      <c r="S111" s="20">
        <f>IF(OR(O111="Falhou",O111="Bloqueado"),"Criar item","")</f>
        <v/>
      </c>
      <c r="T111" s="20" t="n"/>
    </row>
    <row r="112">
      <c r="A112" s="23" t="n"/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31" t="n"/>
      <c r="R112" s="23" t="n"/>
      <c r="S112" s="23">
        <f>IF(OR(O112="Falhou",O112="Bloqueado"),"Criar item","")</f>
        <v/>
      </c>
      <c r="T112" s="23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32" t="n"/>
      <c r="R113" s="20" t="n"/>
      <c r="S113" s="20">
        <f>IF(OR(O113="Falhou",O113="Bloqueado"),"Criar item","")</f>
        <v/>
      </c>
      <c r="T113" s="20" t="n"/>
    </row>
    <row r="114">
      <c r="A114" s="23" t="n"/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31" t="n"/>
      <c r="R114" s="23" t="n"/>
      <c r="S114" s="23">
        <f>IF(OR(O114="Falhou",O114="Bloqueado"),"Criar item","")</f>
        <v/>
      </c>
      <c r="T114" s="23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32" t="n"/>
      <c r="R115" s="20" t="n"/>
      <c r="S115" s="20">
        <f>IF(OR(O115="Falhou",O115="Bloqueado"),"Criar item","")</f>
        <v/>
      </c>
      <c r="T115" s="20" t="n"/>
    </row>
    <row r="116">
      <c r="A116" s="23" t="n"/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31" t="n"/>
      <c r="R116" s="23" t="n"/>
      <c r="S116" s="23">
        <f>IF(OR(O116="Falhou",O116="Bloqueado"),"Criar item","")</f>
        <v/>
      </c>
      <c r="T116" s="23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32" t="n"/>
      <c r="R117" s="20" t="n"/>
      <c r="S117" s="20">
        <f>IF(OR(O117="Falhou",O117="Bloqueado"),"Criar item","")</f>
        <v/>
      </c>
      <c r="T117" s="20" t="n"/>
    </row>
    <row r="118">
      <c r="A118" s="23" t="n"/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31" t="n"/>
      <c r="R118" s="23" t="n"/>
      <c r="S118" s="23">
        <f>IF(OR(O118="Falhou",O118="Bloqueado"),"Criar item","")</f>
        <v/>
      </c>
      <c r="T118" s="23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32" t="n"/>
      <c r="R119" s="20" t="n"/>
      <c r="S119" s="20">
        <f>IF(OR(O119="Falhou",O119="Bloqueado"),"Criar item","")</f>
        <v/>
      </c>
      <c r="T119" s="20" t="n"/>
    </row>
    <row r="120">
      <c r="A120" s="23" t="n"/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31" t="n"/>
      <c r="R120" s="23" t="n"/>
      <c r="S120" s="23">
        <f>IF(OR(O120="Falhou",O120="Bloqueado"),"Criar item","")</f>
        <v/>
      </c>
      <c r="T120" s="23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32" t="n"/>
      <c r="R121" s="20" t="n"/>
      <c r="S121" s="20">
        <f>IF(OR(O121="Falhou",O121="Bloqueado"),"Criar item","")</f>
        <v/>
      </c>
      <c r="T121" s="20" t="n"/>
    </row>
    <row r="122">
      <c r="A122" s="23" t="n"/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31" t="n"/>
      <c r="R122" s="23" t="n"/>
      <c r="S122" s="23">
        <f>IF(OR(O122="Falhou",O122="Bloqueado"),"Criar item","")</f>
        <v/>
      </c>
      <c r="T122" s="23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32" t="n"/>
      <c r="R123" s="20" t="n"/>
      <c r="S123" s="20">
        <f>IF(OR(O123="Falhou",O123="Bloqueado"),"Criar item","")</f>
        <v/>
      </c>
      <c r="T123" s="20" t="n"/>
    </row>
    <row r="124">
      <c r="A124" s="23" t="n"/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31" t="n"/>
      <c r="R124" s="23" t="n"/>
      <c r="S124" s="23">
        <f>IF(OR(O124="Falhou",O124="Bloqueado"),"Criar item","")</f>
        <v/>
      </c>
      <c r="T124" s="23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32" t="n"/>
      <c r="R125" s="20" t="n"/>
      <c r="S125" s="20">
        <f>IF(OR(O125="Falhou",O125="Bloqueado"),"Criar item","")</f>
        <v/>
      </c>
      <c r="T125" s="20" t="n"/>
    </row>
    <row r="126">
      <c r="A126" s="23" t="n"/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31" t="n"/>
      <c r="R126" s="23" t="n"/>
      <c r="S126" s="23">
        <f>IF(OR(O126="Falhou",O126="Bloqueado"),"Criar item","")</f>
        <v/>
      </c>
      <c r="T126" s="23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32" t="n"/>
      <c r="R127" s="20" t="n"/>
      <c r="S127" s="20">
        <f>IF(OR(O127="Falhou",O127="Bloqueado"),"Criar item","")</f>
        <v/>
      </c>
      <c r="T127" s="20" t="n"/>
    </row>
    <row r="128">
      <c r="A128" s="23" t="n"/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31" t="n"/>
      <c r="R128" s="23" t="n"/>
      <c r="S128" s="23">
        <f>IF(OR(O128="Falhou",O128="Bloqueado"),"Criar item","")</f>
        <v/>
      </c>
      <c r="T128" s="23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32" t="n"/>
      <c r="R129" s="20" t="n"/>
      <c r="S129" s="20">
        <f>IF(OR(O129="Falhou",O129="Bloqueado"),"Criar item","")</f>
        <v/>
      </c>
      <c r="T129" s="20" t="n"/>
    </row>
    <row r="130">
      <c r="A130" s="23" t="n"/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31" t="n"/>
      <c r="R130" s="23" t="n"/>
      <c r="S130" s="23">
        <f>IF(OR(O130="Falhou",O130="Bloqueado"),"Criar item","")</f>
        <v/>
      </c>
      <c r="T130" s="23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32" t="n"/>
      <c r="R131" s="20" t="n"/>
      <c r="S131" s="20">
        <f>IF(OR(O131="Falhou",O131="Bloqueado"),"Criar item","")</f>
        <v/>
      </c>
      <c r="T131" s="20" t="n"/>
    </row>
    <row r="132">
      <c r="A132" s="23" t="n"/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31" t="n"/>
      <c r="R132" s="23" t="n"/>
      <c r="S132" s="23">
        <f>IF(OR(O132="Falhou",O132="Bloqueado"),"Criar item","")</f>
        <v/>
      </c>
      <c r="T132" s="23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32" t="n"/>
      <c r="R133" s="20" t="n"/>
      <c r="S133" s="20">
        <f>IF(OR(O133="Falhou",O133="Bloqueado"),"Criar item","")</f>
        <v/>
      </c>
      <c r="T133" s="20" t="n"/>
    </row>
    <row r="134">
      <c r="A134" s="23" t="n"/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31" t="n"/>
      <c r="R134" s="23" t="n"/>
      <c r="S134" s="23">
        <f>IF(OR(O134="Falhou",O134="Bloqueado"),"Criar item","")</f>
        <v/>
      </c>
      <c r="T134" s="23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32" t="n"/>
      <c r="R135" s="20" t="n"/>
      <c r="S135" s="20">
        <f>IF(OR(O135="Falhou",O135="Bloqueado"),"Criar item","")</f>
        <v/>
      </c>
      <c r="T135" s="20" t="n"/>
    </row>
    <row r="136">
      <c r="A136" s="23" t="n"/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31" t="n"/>
      <c r="R136" s="23" t="n"/>
      <c r="S136" s="23">
        <f>IF(OR(O136="Falhou",O136="Bloqueado"),"Criar item","")</f>
        <v/>
      </c>
      <c r="T136" s="23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32" t="n"/>
      <c r="R137" s="20" t="n"/>
      <c r="S137" s="20">
        <f>IF(OR(O137="Falhou",O137="Bloqueado"),"Criar item","")</f>
        <v/>
      </c>
      <c r="T137" s="20" t="n"/>
    </row>
    <row r="138">
      <c r="A138" s="23" t="n"/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31" t="n"/>
      <c r="R138" s="23" t="n"/>
      <c r="S138" s="23">
        <f>IF(OR(O138="Falhou",O138="Bloqueado"),"Criar item","")</f>
        <v/>
      </c>
      <c r="T138" s="23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32" t="n"/>
      <c r="R139" s="20" t="n"/>
      <c r="S139" s="20">
        <f>IF(OR(O139="Falhou",O139="Bloqueado"),"Criar item","")</f>
        <v/>
      </c>
      <c r="T139" s="20" t="n"/>
    </row>
    <row r="140">
      <c r="A140" s="23" t="n"/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31" t="n"/>
      <c r="R140" s="23" t="n"/>
      <c r="S140" s="23">
        <f>IF(OR(O140="Falhou",O140="Bloqueado"),"Criar item","")</f>
        <v/>
      </c>
      <c r="T140" s="23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32" t="n"/>
      <c r="R141" s="20" t="n"/>
      <c r="S141" s="20">
        <f>IF(OR(O141="Falhou",O141="Bloqueado"),"Criar item","")</f>
        <v/>
      </c>
      <c r="T141" s="20" t="n"/>
    </row>
    <row r="142">
      <c r="A142" s="23" t="n"/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31" t="n"/>
      <c r="R142" s="23" t="n"/>
      <c r="S142" s="23">
        <f>IF(OR(O142="Falhou",O142="Bloqueado"),"Criar item","")</f>
        <v/>
      </c>
      <c r="T142" s="23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32" t="n"/>
      <c r="R143" s="20" t="n"/>
      <c r="S143" s="20">
        <f>IF(OR(O143="Falhou",O143="Bloqueado"),"Criar item","")</f>
        <v/>
      </c>
      <c r="T143" s="20" t="n"/>
    </row>
    <row r="144">
      <c r="A144" s="23" t="n"/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31" t="n"/>
      <c r="R144" s="23" t="n"/>
      <c r="S144" s="23">
        <f>IF(OR(O144="Falhou",O144="Bloqueado"),"Criar item","")</f>
        <v/>
      </c>
      <c r="T144" s="23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32" t="n"/>
      <c r="R145" s="20" t="n"/>
      <c r="S145" s="20">
        <f>IF(OR(O145="Falhou",O145="Bloqueado"),"Criar item","")</f>
        <v/>
      </c>
      <c r="T145" s="20" t="n"/>
    </row>
    <row r="146">
      <c r="A146" s="23" t="n"/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31" t="n"/>
      <c r="R146" s="23" t="n"/>
      <c r="S146" s="23">
        <f>IF(OR(O146="Falhou",O146="Bloqueado"),"Criar item","")</f>
        <v/>
      </c>
      <c r="T146" s="23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32" t="n"/>
      <c r="R147" s="20" t="n"/>
      <c r="S147" s="20">
        <f>IF(OR(O147="Falhou",O147="Bloqueado"),"Criar item","")</f>
        <v/>
      </c>
      <c r="T147" s="20" t="n"/>
    </row>
    <row r="148">
      <c r="A148" s="23" t="n"/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31" t="n"/>
      <c r="R148" s="23" t="n"/>
      <c r="S148" s="23">
        <f>IF(OR(O148="Falhou",O148="Bloqueado"),"Criar item","")</f>
        <v/>
      </c>
      <c r="T148" s="23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32" t="n"/>
      <c r="R149" s="20" t="n"/>
      <c r="S149" s="20">
        <f>IF(OR(O149="Falhou",O149="Bloqueado"),"Criar item","")</f>
        <v/>
      </c>
      <c r="T149" s="20" t="n"/>
    </row>
    <row r="150">
      <c r="A150" s="23" t="n"/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31" t="n"/>
      <c r="R150" s="23" t="n"/>
      <c r="S150" s="23">
        <f>IF(OR(O150="Falhou",O150="Bloqueado"),"Criar item","")</f>
        <v/>
      </c>
      <c r="T150" s="23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32" t="n"/>
      <c r="R151" s="20" t="n"/>
      <c r="S151" s="20">
        <f>IF(OR(O151="Falhou",O151="Bloqueado"),"Criar item","")</f>
        <v/>
      </c>
      <c r="T151" s="20" t="n"/>
    </row>
    <row r="152">
      <c r="A152" s="23" t="n"/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31" t="n"/>
      <c r="R152" s="23" t="n"/>
      <c r="S152" s="23">
        <f>IF(OR(O152="Falhou",O152="Bloqueado"),"Criar item","")</f>
        <v/>
      </c>
      <c r="T152" s="23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32" t="n"/>
      <c r="R153" s="20" t="n"/>
      <c r="S153" s="20">
        <f>IF(OR(O153="Falhou",O153="Bloqueado"),"Criar item","")</f>
        <v/>
      </c>
      <c r="T153" s="20" t="n"/>
    </row>
    <row r="154">
      <c r="A154" s="23" t="n"/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31" t="n"/>
      <c r="R154" s="23" t="n"/>
      <c r="S154" s="23">
        <f>IF(OR(O154="Falhou",O154="Bloqueado"),"Criar item","")</f>
        <v/>
      </c>
      <c r="T154" s="23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32" t="n"/>
      <c r="R155" s="20" t="n"/>
      <c r="S155" s="20">
        <f>IF(OR(O155="Falhou",O155="Bloqueado"),"Criar item","")</f>
        <v/>
      </c>
      <c r="T155" s="20" t="n"/>
    </row>
    <row r="156">
      <c r="A156" s="23" t="n"/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31" t="n"/>
      <c r="R156" s="23" t="n"/>
      <c r="S156" s="23">
        <f>IF(OR(O156="Falhou",O156="Bloqueado"),"Criar item","")</f>
        <v/>
      </c>
      <c r="T156" s="23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32" t="n"/>
      <c r="R157" s="20" t="n"/>
      <c r="S157" s="20">
        <f>IF(OR(O157="Falhou",O157="Bloqueado"),"Criar item","")</f>
        <v/>
      </c>
      <c r="T157" s="20" t="n"/>
    </row>
    <row r="158">
      <c r="A158" s="23" t="n"/>
      <c r="B158" s="23" t="n"/>
      <c r="C158" s="23" t="n"/>
      <c r="D158" s="23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31" t="n"/>
      <c r="R158" s="23" t="n"/>
      <c r="S158" s="23">
        <f>IF(OR(O158="Falhou",O158="Bloqueado"),"Criar item","")</f>
        <v/>
      </c>
      <c r="T158" s="23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32" t="n"/>
      <c r="R159" s="20" t="n"/>
      <c r="S159" s="20">
        <f>IF(OR(O159="Falhou",O159="Bloqueado"),"Criar item","")</f>
        <v/>
      </c>
      <c r="T159" s="20" t="n"/>
    </row>
    <row r="160">
      <c r="A160" s="23" t="n"/>
      <c r="B160" s="23" t="n"/>
      <c r="C160" s="23" t="n"/>
      <c r="D160" s="23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31" t="n"/>
      <c r="R160" s="23" t="n"/>
      <c r="S160" s="23">
        <f>IF(OR(O160="Falhou",O160="Bloqueado"),"Criar item","")</f>
        <v/>
      </c>
      <c r="T160" s="23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32" t="n"/>
      <c r="R161" s="20" t="n"/>
      <c r="S161" s="20">
        <f>IF(OR(O161="Falhou",O161="Bloqueado"),"Criar item","")</f>
        <v/>
      </c>
      <c r="T161" s="20" t="n"/>
    </row>
    <row r="162">
      <c r="A162" s="23" t="n"/>
      <c r="B162" s="23" t="n"/>
      <c r="C162" s="23" t="n"/>
      <c r="D162" s="23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31" t="n"/>
      <c r="R162" s="23" t="n"/>
      <c r="S162" s="23">
        <f>IF(OR(O162="Falhou",O162="Bloqueado"),"Criar item","")</f>
        <v/>
      </c>
      <c r="T162" s="23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32" t="n"/>
      <c r="R163" s="20" t="n"/>
      <c r="S163" s="20">
        <f>IF(OR(O163="Falhou",O163="Bloqueado"),"Criar item","")</f>
        <v/>
      </c>
      <c r="T163" s="20" t="n"/>
    </row>
    <row r="164">
      <c r="A164" s="23" t="n"/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31" t="n"/>
      <c r="R164" s="23" t="n"/>
      <c r="S164" s="23">
        <f>IF(OR(O164="Falhou",O164="Bloqueado"),"Criar item","")</f>
        <v/>
      </c>
      <c r="T164" s="23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32" t="n"/>
      <c r="R165" s="20" t="n"/>
      <c r="S165" s="20">
        <f>IF(OR(O165="Falhou",O165="Bloqueado"),"Criar item","")</f>
        <v/>
      </c>
      <c r="T165" s="20" t="n"/>
    </row>
    <row r="166">
      <c r="A166" s="23" t="n"/>
      <c r="B166" s="23" t="n"/>
      <c r="C166" s="23" t="n"/>
      <c r="D166" s="23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31" t="n"/>
      <c r="R166" s="23" t="n"/>
      <c r="S166" s="23">
        <f>IF(OR(O166="Falhou",O166="Bloqueado"),"Criar item","")</f>
        <v/>
      </c>
      <c r="T166" s="23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32" t="n"/>
      <c r="R167" s="20" t="n"/>
      <c r="S167" s="20">
        <f>IF(OR(O167="Falhou",O167="Bloqueado"),"Criar item","")</f>
        <v/>
      </c>
      <c r="T167" s="20" t="n"/>
    </row>
    <row r="168">
      <c r="A168" s="23" t="n"/>
      <c r="B168" s="23" t="n"/>
      <c r="C168" s="23" t="n"/>
      <c r="D168" s="23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31" t="n"/>
      <c r="R168" s="23" t="n"/>
      <c r="S168" s="23">
        <f>IF(OR(O168="Falhou",O168="Bloqueado"),"Criar item","")</f>
        <v/>
      </c>
      <c r="T168" s="23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32" t="n"/>
      <c r="R169" s="20" t="n"/>
      <c r="S169" s="20">
        <f>IF(OR(O169="Falhou",O169="Bloqueado"),"Criar item","")</f>
        <v/>
      </c>
      <c r="T169" s="20" t="n"/>
    </row>
    <row r="170">
      <c r="A170" s="23" t="n"/>
      <c r="B170" s="23" t="n"/>
      <c r="C170" s="23" t="n"/>
      <c r="D170" s="23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31" t="n"/>
      <c r="R170" s="23" t="n"/>
      <c r="S170" s="23">
        <f>IF(OR(O170="Falhou",O170="Bloqueado"),"Criar item","")</f>
        <v/>
      </c>
      <c r="T170" s="23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32" t="n"/>
      <c r="R171" s="20" t="n"/>
      <c r="S171" s="20">
        <f>IF(OR(O171="Falhou",O171="Bloqueado"),"Criar item","")</f>
        <v/>
      </c>
      <c r="T171" s="20" t="n"/>
    </row>
    <row r="172">
      <c r="A172" s="23" t="n"/>
      <c r="B172" s="23" t="n"/>
      <c r="C172" s="23" t="n"/>
      <c r="D172" s="23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31" t="n"/>
      <c r="R172" s="23" t="n"/>
      <c r="S172" s="23">
        <f>IF(OR(O172="Falhou",O172="Bloqueado"),"Criar item","")</f>
        <v/>
      </c>
      <c r="T172" s="23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32" t="n"/>
      <c r="R173" s="20" t="n"/>
      <c r="S173" s="20">
        <f>IF(OR(O173="Falhou",O173="Bloqueado"),"Criar item","")</f>
        <v/>
      </c>
      <c r="T173" s="20" t="n"/>
    </row>
    <row r="174">
      <c r="A174" s="23" t="n"/>
      <c r="B174" s="23" t="n"/>
      <c r="C174" s="23" t="n"/>
      <c r="D174" s="23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31" t="n"/>
      <c r="R174" s="23" t="n"/>
      <c r="S174" s="23">
        <f>IF(OR(O174="Falhou",O174="Bloqueado"),"Criar item","")</f>
        <v/>
      </c>
      <c r="T174" s="23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32" t="n"/>
      <c r="R175" s="20" t="n"/>
      <c r="S175" s="20">
        <f>IF(OR(O175="Falhou",O175="Bloqueado"),"Criar item","")</f>
        <v/>
      </c>
      <c r="T175" s="20" t="n"/>
    </row>
    <row r="176">
      <c r="A176" s="23" t="n"/>
      <c r="B176" s="23" t="n"/>
      <c r="C176" s="23" t="n"/>
      <c r="D176" s="23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31" t="n"/>
      <c r="R176" s="23" t="n"/>
      <c r="S176" s="23">
        <f>IF(OR(O176="Falhou",O176="Bloqueado"),"Criar item","")</f>
        <v/>
      </c>
      <c r="T176" s="23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32" t="n"/>
      <c r="R177" s="20" t="n"/>
      <c r="S177" s="20">
        <f>IF(OR(O177="Falhou",O177="Bloqueado"),"Criar item","")</f>
        <v/>
      </c>
      <c r="T177" s="20" t="n"/>
    </row>
    <row r="178">
      <c r="A178" s="23" t="n"/>
      <c r="B178" s="23" t="n"/>
      <c r="C178" s="23" t="n"/>
      <c r="D178" s="23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31" t="n"/>
      <c r="R178" s="23" t="n"/>
      <c r="S178" s="23">
        <f>IF(OR(O178="Falhou",O178="Bloqueado"),"Criar item","")</f>
        <v/>
      </c>
      <c r="T178" s="23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32" t="n"/>
      <c r="R179" s="20" t="n"/>
      <c r="S179" s="20">
        <f>IF(OR(O179="Falhou",O179="Bloqueado"),"Criar item","")</f>
        <v/>
      </c>
      <c r="T179" s="20" t="n"/>
    </row>
    <row r="180">
      <c r="A180" s="23" t="n"/>
      <c r="B180" s="23" t="n"/>
      <c r="C180" s="23" t="n"/>
      <c r="D180" s="23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31" t="n"/>
      <c r="R180" s="23" t="n"/>
      <c r="S180" s="23">
        <f>IF(OR(O180="Falhou",O180="Bloqueado"),"Criar item","")</f>
        <v/>
      </c>
      <c r="T180" s="23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32" t="n"/>
      <c r="R181" s="20" t="n"/>
      <c r="S181" s="20">
        <f>IF(OR(O181="Falhou",O181="Bloqueado"),"Criar item","")</f>
        <v/>
      </c>
      <c r="T181" s="20" t="n"/>
    </row>
    <row r="182">
      <c r="A182" s="23" t="n"/>
      <c r="B182" s="23" t="n"/>
      <c r="C182" s="23" t="n"/>
      <c r="D182" s="23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31" t="n"/>
      <c r="R182" s="23" t="n"/>
      <c r="S182" s="23">
        <f>IF(OR(O182="Falhou",O182="Bloqueado"),"Criar item","")</f>
        <v/>
      </c>
      <c r="T182" s="23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32" t="n"/>
      <c r="R183" s="20" t="n"/>
      <c r="S183" s="20">
        <f>IF(OR(O183="Falhou",O183="Bloqueado"),"Criar item","")</f>
        <v/>
      </c>
      <c r="T183" s="20" t="n"/>
    </row>
    <row r="184">
      <c r="A184" s="23" t="n"/>
      <c r="B184" s="23" t="n"/>
      <c r="C184" s="23" t="n"/>
      <c r="D184" s="23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31" t="n"/>
      <c r="R184" s="23" t="n"/>
      <c r="S184" s="23">
        <f>IF(OR(O184="Falhou",O184="Bloqueado"),"Criar item","")</f>
        <v/>
      </c>
      <c r="T184" s="23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32" t="n"/>
      <c r="R185" s="20" t="n"/>
      <c r="S185" s="20">
        <f>IF(OR(O185="Falhou",O185="Bloqueado"),"Criar item","")</f>
        <v/>
      </c>
      <c r="T185" s="20" t="n"/>
    </row>
    <row r="186">
      <c r="A186" s="23" t="n"/>
      <c r="B186" s="23" t="n"/>
      <c r="C186" s="23" t="n"/>
      <c r="D186" s="23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31" t="n"/>
      <c r="R186" s="23" t="n"/>
      <c r="S186" s="23">
        <f>IF(OR(O186="Falhou",O186="Bloqueado"),"Criar item","")</f>
        <v/>
      </c>
      <c r="T186" s="23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32" t="n"/>
      <c r="R187" s="20" t="n"/>
      <c r="S187" s="20">
        <f>IF(OR(O187="Falhou",O187="Bloqueado"),"Criar item","")</f>
        <v/>
      </c>
      <c r="T187" s="20" t="n"/>
    </row>
    <row r="188">
      <c r="A188" s="23" t="n"/>
      <c r="B188" s="23" t="n"/>
      <c r="C188" s="23" t="n"/>
      <c r="D188" s="23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31" t="n"/>
      <c r="R188" s="23" t="n"/>
      <c r="S188" s="23">
        <f>IF(OR(O188="Falhou",O188="Bloqueado"),"Criar item","")</f>
        <v/>
      </c>
      <c r="T188" s="23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32" t="n"/>
      <c r="R189" s="20" t="n"/>
      <c r="S189" s="20">
        <f>IF(OR(O189="Falhou",O189="Bloqueado"),"Criar item","")</f>
        <v/>
      </c>
      <c r="T189" s="20" t="n"/>
    </row>
    <row r="190">
      <c r="A190" s="23" t="n"/>
      <c r="B190" s="23" t="n"/>
      <c r="C190" s="23" t="n"/>
      <c r="D190" s="23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31" t="n"/>
      <c r="R190" s="23" t="n"/>
      <c r="S190" s="23">
        <f>IF(OR(O190="Falhou",O190="Bloqueado"),"Criar item","")</f>
        <v/>
      </c>
      <c r="T190" s="23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32" t="n"/>
      <c r="R191" s="20" t="n"/>
      <c r="S191" s="20">
        <f>IF(OR(O191="Falhou",O191="Bloqueado"),"Criar item","")</f>
        <v/>
      </c>
      <c r="T191" s="20" t="n"/>
    </row>
    <row r="192">
      <c r="A192" s="23" t="n"/>
      <c r="B192" s="23" t="n"/>
      <c r="C192" s="23" t="n"/>
      <c r="D192" s="23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31" t="n"/>
      <c r="R192" s="23" t="n"/>
      <c r="S192" s="23">
        <f>IF(OR(O192="Falhou",O192="Bloqueado"),"Criar item","")</f>
        <v/>
      </c>
      <c r="T192" s="23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32" t="n"/>
      <c r="R193" s="20" t="n"/>
      <c r="S193" s="20">
        <f>IF(OR(O193="Falhou",O193="Bloqueado"),"Criar item","")</f>
        <v/>
      </c>
      <c r="T193" s="20" t="n"/>
    </row>
    <row r="194">
      <c r="A194" s="23" t="n"/>
      <c r="B194" s="23" t="n"/>
      <c r="C194" s="23" t="n"/>
      <c r="D194" s="23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31" t="n"/>
      <c r="R194" s="23" t="n"/>
      <c r="S194" s="23">
        <f>IF(OR(O194="Falhou",O194="Bloqueado"),"Criar item","")</f>
        <v/>
      </c>
      <c r="T194" s="23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32" t="n"/>
      <c r="R195" s="20" t="n"/>
      <c r="S195" s="20">
        <f>IF(OR(O195="Falhou",O195="Bloqueado"),"Criar item","")</f>
        <v/>
      </c>
      <c r="T195" s="20" t="n"/>
    </row>
    <row r="196">
      <c r="A196" s="23" t="n"/>
      <c r="B196" s="23" t="n"/>
      <c r="C196" s="23" t="n"/>
      <c r="D196" s="23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31" t="n"/>
      <c r="R196" s="23" t="n"/>
      <c r="S196" s="23">
        <f>IF(OR(O196="Falhou",O196="Bloqueado"),"Criar item","")</f>
        <v/>
      </c>
      <c r="T196" s="23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32" t="n"/>
      <c r="R197" s="20" t="n"/>
      <c r="S197" s="20">
        <f>IF(OR(O197="Falhou",O197="Bloqueado"),"Criar item","")</f>
        <v/>
      </c>
      <c r="T197" s="20" t="n"/>
    </row>
    <row r="198">
      <c r="A198" s="23" t="n"/>
      <c r="B198" s="23" t="n"/>
      <c r="C198" s="23" t="n"/>
      <c r="D198" s="23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31" t="n"/>
      <c r="R198" s="23" t="n"/>
      <c r="S198" s="23">
        <f>IF(OR(O198="Falhou",O198="Bloqueado"),"Criar item","")</f>
        <v/>
      </c>
      <c r="T198" s="23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32" t="n"/>
      <c r="R199" s="20" t="n"/>
      <c r="S199" s="20">
        <f>IF(OR(O199="Falhou",O199="Bloqueado"),"Criar item","")</f>
        <v/>
      </c>
      <c r="T199" s="20" t="n"/>
    </row>
    <row r="200">
      <c r="A200" s="23" t="n"/>
      <c r="B200" s="23" t="n"/>
      <c r="C200" s="23" t="n"/>
      <c r="D200" s="23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31" t="n"/>
      <c r="R200" s="23" t="n"/>
      <c r="S200" s="23">
        <f>IF(OR(O200="Falhou",O200="Bloqueado"),"Criar item","")</f>
        <v/>
      </c>
      <c r="T200" s="23" t="n"/>
    </row>
    <row r="20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32" t="n"/>
      <c r="R201" s="20" t="n"/>
      <c r="S201" s="20">
        <f>IF(OR(O201="Falhou",O201="Bloqueado"),"Criar item","")</f>
        <v/>
      </c>
      <c r="T201" s="20" t="n"/>
    </row>
    <row r="202">
      <c r="A202" s="23" t="n"/>
      <c r="B202" s="23" t="n"/>
      <c r="C202" s="23" t="n"/>
      <c r="D202" s="23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31" t="n"/>
      <c r="R202" s="23" t="n"/>
      <c r="S202" s="23">
        <f>IF(OR(O202="Falhou",O202="Bloqueado"),"Criar item","")</f>
        <v/>
      </c>
      <c r="T202" s="23" t="n"/>
    </row>
    <row r="203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32" t="n"/>
      <c r="R203" s="20" t="n"/>
      <c r="S203" s="20">
        <f>IF(OR(O203="Falhou",O203="Bloqueado"),"Criar item","")</f>
        <v/>
      </c>
      <c r="T203" s="20" t="n"/>
    </row>
    <row r="204">
      <c r="A204" s="23" t="n"/>
      <c r="B204" s="23" t="n"/>
      <c r="C204" s="23" t="n"/>
      <c r="D204" s="23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31" t="n"/>
      <c r="R204" s="23" t="n"/>
      <c r="S204" s="23">
        <f>IF(OR(O204="Falhou",O204="Bloqueado"),"Criar item","")</f>
        <v/>
      </c>
      <c r="T204" s="23" t="n"/>
    </row>
    <row r="205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32" t="n"/>
      <c r="R205" s="20" t="n"/>
      <c r="S205" s="20">
        <f>IF(OR(O205="Falhou",O205="Bloqueado"),"Criar item","")</f>
        <v/>
      </c>
      <c r="T205" s="20" t="n"/>
    </row>
  </sheetData>
  <mergeCells count="3">
    <mergeCell ref="A1:T1"/>
    <mergeCell ref="A3:T3"/>
    <mergeCell ref="A2:T2"/>
  </mergeCells>
  <conditionalFormatting sqref="O6:O205">
    <cfRule type="containsText" priority="1" operator="containsText" dxfId="0" text="Aprovado"/>
    <cfRule type="containsText" priority="2" operator="containsText" dxfId="1" text="Falhou"/>
    <cfRule type="containsText" priority="3" operator="containsText" dxfId="2" text="Bloqueado"/>
    <cfRule type="containsText" priority="4" operator="containsText" dxfId="3" text="Em execução"/>
  </conditionalFormatting>
  <conditionalFormatting sqref="S6:S205">
    <cfRule type="containsText" priority="5" operator="containsText" dxfId="2" text="Criar item"/>
  </conditionalFormatting>
  <dataValidations count="2">
    <dataValidation sqref="C6:C205" showDropDown="0" showInputMessage="0" showErrorMessage="0" allowBlank="0" type="list">
      <formula1>"Crítica,Alta,Média,Baixa"</formula1>
    </dataValidation>
    <dataValidation sqref="O6:O205" showDropDown="0" showInputMessage="0" showErrorMessage="0" allowBlank="0" type="list">
      <formula1>"Não iniciado,Em execução,Aprovado,Falhou,Bloqueado"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8" customWidth="1" min="4" max="4"/>
    <col width="28" customWidth="1" min="5" max="5"/>
    <col width="32" customWidth="1" min="6" max="6"/>
    <col width="34" customWidth="1" min="7" max="7"/>
    <col width="34" customWidth="1" min="8" max="8"/>
    <col width="24" customWidth="1" min="9" max="9"/>
    <col width="36" customWidth="1" min="10" max="10"/>
    <col width="28" customWidth="1" min="11" max="11"/>
    <col width="36" customWidth="1" min="12" max="12"/>
  </cols>
  <sheetData>
    <row r="1" ht="30" customHeight="1">
      <c r="A1" s="3" t="inlineStr">
        <is>
          <t>Dados verificados do ambiente</t>
        </is>
      </c>
    </row>
    <row r="2" ht="24" customHeight="1">
      <c r="A2" s="6" t="inlineStr">
        <is>
          <t>Fixtures escolhidas para maximizar a cobertura sem depender de dados inventados.</t>
        </is>
      </c>
    </row>
    <row r="3" ht="34" customHeight="1">
      <c r="A3" s="10" t="inlineStr">
        <is>
          <t>Registre somente o mínimo necessário e reconfirme o estado antes de cada bloco mutável.</t>
        </is>
      </c>
    </row>
    <row r="5" ht="22" customHeight="1">
      <c r="A5" s="16" t="inlineStr">
        <is>
          <t>Código</t>
        </is>
      </c>
      <c r="B5" s="16" t="inlineStr">
        <is>
          <t>Uso principal</t>
        </is>
      </c>
      <c r="C5" s="16" t="inlineStr">
        <is>
          <t>Unidade</t>
        </is>
      </c>
      <c r="D5" s="16" t="inlineStr">
        <is>
          <t>Integração</t>
        </is>
      </c>
      <c r="E5" s="16" t="inlineStr">
        <is>
          <t>Entidade principal</t>
        </is>
      </c>
      <c r="F5" s="16" t="inlineStr">
        <is>
          <t>Entidades relacionadas</t>
        </is>
      </c>
      <c r="G5" s="16" t="inlineStr">
        <is>
          <t>Estado inicial</t>
        </is>
      </c>
      <c r="H5" s="16" t="inlineStr">
        <is>
          <t>Estado esperado</t>
        </is>
      </c>
      <c r="I5" s="16" t="inlineStr">
        <is>
          <t>IDs úteis</t>
        </is>
      </c>
      <c r="J5" s="16" t="inlineStr">
        <is>
          <t>Link de entrada</t>
        </is>
      </c>
      <c r="K5" s="16" t="inlineStr">
        <is>
          <t>Fonte no banco</t>
        </is>
      </c>
      <c r="L5" s="16" t="inlineStr">
        <is>
          <t>Observações</t>
        </is>
      </c>
    </row>
    <row r="6" ht="22" customHeight="1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</row>
    <row r="25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</sheetData>
  <mergeCells count="3">
    <mergeCell ref="A3:L3"/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6" customWidth="1" min="4" max="4"/>
    <col width="42" customWidth="1" min="5" max="5"/>
    <col width="42" customWidth="1" min="6" max="6"/>
    <col width="34" customWidth="1" min="7" max="7"/>
  </cols>
  <sheetData>
    <row r="1" ht="30" customHeight="1">
      <c r="A1" s="3" t="inlineStr">
        <is>
          <t>Consultas SQL de confronto</t>
        </is>
      </c>
    </row>
    <row r="2" ht="24" customHeight="1">
      <c r="A2" s="6" t="inlineStr">
        <is>
          <t>Consultas somente leitura para verificar baseline, efeitos e regressão.</t>
        </is>
      </c>
    </row>
    <row r="3" ht="34" customHeight="1">
      <c r="A3" s="10" t="inlineStr">
        <is>
          <t>Substitua placeholders pelos IDs da execução. Não inclua SQL destrutivo nem dados sensíveis.</t>
        </is>
      </c>
    </row>
    <row r="5" ht="22" customHeight="1">
      <c r="A5" s="16" t="inlineStr">
        <is>
          <t>SQL ID</t>
        </is>
      </c>
      <c r="B5" s="16" t="inlineStr">
        <is>
          <t>Quando usar</t>
        </is>
      </c>
      <c r="C5" s="16" t="inlineStr">
        <is>
          <t>Objetivo</t>
        </is>
      </c>
      <c r="D5" s="16" t="inlineStr">
        <is>
          <t>Consulta somente leitura</t>
        </is>
      </c>
      <c r="E5" s="16" t="inlineStr">
        <is>
          <t>Esperado antes</t>
        </is>
      </c>
      <c r="F5" s="16" t="inlineStr">
        <is>
          <t>Esperado depois</t>
        </is>
      </c>
      <c r="G5" s="16" t="inlineStr">
        <is>
          <t>Cuidados</t>
        </is>
      </c>
    </row>
    <row r="6" ht="22" customHeight="1">
      <c r="A6" s="23" t="n"/>
      <c r="B6" s="23" t="n"/>
      <c r="C6" s="23" t="n"/>
      <c r="D6" s="23" t="n"/>
      <c r="E6" s="23" t="n"/>
      <c r="F6" s="23" t="n"/>
      <c r="G6" s="23" t="n"/>
    </row>
    <row r="7">
      <c r="A7" s="20" t="n"/>
      <c r="B7" s="20" t="n"/>
      <c r="C7" s="20" t="n"/>
      <c r="D7" s="20" t="n"/>
      <c r="E7" s="20" t="n"/>
      <c r="F7" s="20" t="n"/>
      <c r="G7" s="20" t="n"/>
    </row>
    <row r="8">
      <c r="A8" s="23" t="n"/>
      <c r="B8" s="23" t="n"/>
      <c r="C8" s="23" t="n"/>
      <c r="D8" s="23" t="n"/>
      <c r="E8" s="23" t="n"/>
      <c r="F8" s="23" t="n"/>
      <c r="G8" s="23" t="n"/>
    </row>
    <row r="9">
      <c r="A9" s="20" t="n"/>
      <c r="B9" s="20" t="n"/>
      <c r="C9" s="20" t="n"/>
      <c r="D9" s="20" t="n"/>
      <c r="E9" s="20" t="n"/>
      <c r="F9" s="20" t="n"/>
      <c r="G9" s="20" t="n"/>
    </row>
    <row r="10">
      <c r="A10" s="23" t="n"/>
      <c r="B10" s="23" t="n"/>
      <c r="C10" s="23" t="n"/>
      <c r="D10" s="23" t="n"/>
      <c r="E10" s="23" t="n"/>
      <c r="F10" s="23" t="n"/>
      <c r="G10" s="23" t="n"/>
    </row>
    <row r="11">
      <c r="A11" s="20" t="n"/>
      <c r="B11" s="20" t="n"/>
      <c r="C11" s="20" t="n"/>
      <c r="D11" s="20" t="n"/>
      <c r="E11" s="20" t="n"/>
      <c r="F11" s="20" t="n"/>
      <c r="G11" s="20" t="n"/>
    </row>
    <row r="12">
      <c r="A12" s="23" t="n"/>
      <c r="B12" s="23" t="n"/>
      <c r="C12" s="23" t="n"/>
      <c r="D12" s="23" t="n"/>
      <c r="E12" s="23" t="n"/>
      <c r="F12" s="23" t="n"/>
      <c r="G12" s="23" t="n"/>
    </row>
    <row r="13">
      <c r="A13" s="20" t="n"/>
      <c r="B13" s="20" t="n"/>
      <c r="C13" s="20" t="n"/>
      <c r="D13" s="20" t="n"/>
      <c r="E13" s="20" t="n"/>
      <c r="F13" s="20" t="n"/>
      <c r="G13" s="20" t="n"/>
    </row>
    <row r="14">
      <c r="A14" s="23" t="n"/>
      <c r="B14" s="23" t="n"/>
      <c r="C14" s="23" t="n"/>
      <c r="D14" s="23" t="n"/>
      <c r="E14" s="23" t="n"/>
      <c r="F14" s="23" t="n"/>
      <c r="G14" s="23" t="n"/>
    </row>
    <row r="15">
      <c r="A15" s="20" t="n"/>
      <c r="B15" s="20" t="n"/>
      <c r="C15" s="20" t="n"/>
      <c r="D15" s="20" t="n"/>
      <c r="E15" s="20" t="n"/>
      <c r="F15" s="20" t="n"/>
      <c r="G15" s="20" t="n"/>
    </row>
    <row r="16">
      <c r="A16" s="23" t="n"/>
      <c r="B16" s="23" t="n"/>
      <c r="C16" s="23" t="n"/>
      <c r="D16" s="23" t="n"/>
      <c r="E16" s="23" t="n"/>
      <c r="F16" s="23" t="n"/>
      <c r="G16" s="23" t="n"/>
    </row>
    <row r="17">
      <c r="A17" s="20" t="n"/>
      <c r="B17" s="20" t="n"/>
      <c r="C17" s="20" t="n"/>
      <c r="D17" s="20" t="n"/>
      <c r="E17" s="20" t="n"/>
      <c r="F17" s="20" t="n"/>
      <c r="G17" s="20" t="n"/>
    </row>
    <row r="18">
      <c r="A18" s="23" t="n"/>
      <c r="B18" s="23" t="n"/>
      <c r="C18" s="23" t="n"/>
      <c r="D18" s="23" t="n"/>
      <c r="E18" s="23" t="n"/>
      <c r="F18" s="23" t="n"/>
      <c r="G18" s="23" t="n"/>
    </row>
    <row r="19">
      <c r="A19" s="20" t="n"/>
      <c r="B19" s="20" t="n"/>
      <c r="C19" s="20" t="n"/>
      <c r="D19" s="20" t="n"/>
      <c r="E19" s="20" t="n"/>
      <c r="F19" s="20" t="n"/>
      <c r="G19" s="20" t="n"/>
    </row>
    <row r="20">
      <c r="A20" s="23" t="n"/>
      <c r="B20" s="23" t="n"/>
      <c r="C20" s="23" t="n"/>
      <c r="D20" s="23" t="n"/>
      <c r="E20" s="23" t="n"/>
      <c r="F20" s="23" t="n"/>
      <c r="G20" s="23" t="n"/>
    </row>
    <row r="21">
      <c r="A21" s="20" t="n"/>
      <c r="B21" s="20" t="n"/>
      <c r="C21" s="20" t="n"/>
      <c r="D21" s="20" t="n"/>
      <c r="E21" s="20" t="n"/>
      <c r="F21" s="20" t="n"/>
      <c r="G21" s="20" t="n"/>
    </row>
    <row r="22">
      <c r="A22" s="23" t="n"/>
      <c r="B22" s="23" t="n"/>
      <c r="C22" s="23" t="n"/>
      <c r="D22" s="23" t="n"/>
      <c r="E22" s="23" t="n"/>
      <c r="F22" s="23" t="n"/>
      <c r="G22" s="23" t="n"/>
    </row>
    <row r="23">
      <c r="A23" s="20" t="n"/>
      <c r="B23" s="20" t="n"/>
      <c r="C23" s="20" t="n"/>
      <c r="D23" s="20" t="n"/>
      <c r="E23" s="20" t="n"/>
      <c r="F23" s="20" t="n"/>
      <c r="G23" s="20" t="n"/>
    </row>
    <row r="24">
      <c r="A24" s="23" t="n"/>
      <c r="B24" s="23" t="n"/>
      <c r="C24" s="23" t="n"/>
      <c r="D24" s="23" t="n"/>
      <c r="E24" s="23" t="n"/>
      <c r="F24" s="23" t="n"/>
      <c r="G24" s="23" t="n"/>
    </row>
    <row r="25">
      <c r="A25" s="20" t="n"/>
      <c r="B25" s="20" t="n"/>
      <c r="C25" s="20" t="n"/>
      <c r="D25" s="20" t="n"/>
      <c r="E25" s="20" t="n"/>
      <c r="F25" s="20" t="n"/>
      <c r="G25" s="20" t="n"/>
    </row>
    <row r="26">
      <c r="A26" s="23" t="n"/>
      <c r="B26" s="23" t="n"/>
      <c r="C26" s="23" t="n"/>
      <c r="D26" s="23" t="n"/>
      <c r="E26" s="23" t="n"/>
      <c r="F26" s="23" t="n"/>
      <c r="G26" s="23" t="n"/>
    </row>
    <row r="27">
      <c r="A27" s="20" t="n"/>
      <c r="B27" s="20" t="n"/>
      <c r="C27" s="20" t="n"/>
      <c r="D27" s="20" t="n"/>
      <c r="E27" s="20" t="n"/>
      <c r="F27" s="20" t="n"/>
      <c r="G27" s="20" t="n"/>
    </row>
    <row r="28">
      <c r="A28" s="23" t="n"/>
      <c r="B28" s="23" t="n"/>
      <c r="C28" s="23" t="n"/>
      <c r="D28" s="23" t="n"/>
      <c r="E28" s="23" t="n"/>
      <c r="F28" s="23" t="n"/>
      <c r="G28" s="23" t="n"/>
    </row>
    <row r="29">
      <c r="A29" s="20" t="n"/>
      <c r="B29" s="20" t="n"/>
      <c r="C29" s="20" t="n"/>
      <c r="D29" s="20" t="n"/>
      <c r="E29" s="20" t="n"/>
      <c r="F29" s="20" t="n"/>
      <c r="G29" s="20" t="n"/>
    </row>
    <row r="30">
      <c r="A30" s="23" t="n"/>
      <c r="B30" s="23" t="n"/>
      <c r="C30" s="23" t="n"/>
      <c r="D30" s="23" t="n"/>
      <c r="E30" s="23" t="n"/>
      <c r="F30" s="23" t="n"/>
      <c r="G30" s="23" t="n"/>
    </row>
    <row r="31">
      <c r="A31" s="20" t="n"/>
      <c r="B31" s="20" t="n"/>
      <c r="C31" s="20" t="n"/>
      <c r="D31" s="20" t="n"/>
      <c r="E31" s="20" t="n"/>
      <c r="F31" s="20" t="n"/>
      <c r="G31" s="20" t="n"/>
    </row>
    <row r="32">
      <c r="A32" s="23" t="n"/>
      <c r="B32" s="23" t="n"/>
      <c r="C32" s="23" t="n"/>
      <c r="D32" s="23" t="n"/>
      <c r="E32" s="23" t="n"/>
      <c r="F32" s="23" t="n"/>
      <c r="G32" s="23" t="n"/>
    </row>
    <row r="33">
      <c r="A33" s="20" t="n"/>
      <c r="B33" s="20" t="n"/>
      <c r="C33" s="20" t="n"/>
      <c r="D33" s="20" t="n"/>
      <c r="E33" s="20" t="n"/>
      <c r="F33" s="20" t="n"/>
      <c r="G33" s="20" t="n"/>
    </row>
    <row r="34">
      <c r="A34" s="23" t="n"/>
      <c r="B34" s="23" t="n"/>
      <c r="C34" s="23" t="n"/>
      <c r="D34" s="23" t="n"/>
      <c r="E34" s="23" t="n"/>
      <c r="F34" s="23" t="n"/>
      <c r="G34" s="23" t="n"/>
    </row>
    <row r="35">
      <c r="A35" s="20" t="n"/>
      <c r="B35" s="20" t="n"/>
      <c r="C35" s="20" t="n"/>
      <c r="D35" s="20" t="n"/>
      <c r="E35" s="20" t="n"/>
      <c r="F35" s="20" t="n"/>
      <c r="G35" s="20" t="n"/>
    </row>
    <row r="36">
      <c r="A36" s="23" t="n"/>
      <c r="B36" s="23" t="n"/>
      <c r="C36" s="23" t="n"/>
      <c r="D36" s="23" t="n"/>
      <c r="E36" s="23" t="n"/>
      <c r="F36" s="23" t="n"/>
      <c r="G36" s="23" t="n"/>
    </row>
    <row r="37">
      <c r="A37" s="20" t="n"/>
      <c r="B37" s="20" t="n"/>
      <c r="C37" s="20" t="n"/>
      <c r="D37" s="20" t="n"/>
      <c r="E37" s="20" t="n"/>
      <c r="F37" s="20" t="n"/>
      <c r="G37" s="20" t="n"/>
    </row>
    <row r="38">
      <c r="A38" s="23" t="n"/>
      <c r="B38" s="23" t="n"/>
      <c r="C38" s="23" t="n"/>
      <c r="D38" s="23" t="n"/>
      <c r="E38" s="23" t="n"/>
      <c r="F38" s="23" t="n"/>
      <c r="G38" s="23" t="n"/>
    </row>
    <row r="39">
      <c r="A39" s="20" t="n"/>
      <c r="B39" s="20" t="n"/>
      <c r="C39" s="20" t="n"/>
      <c r="D39" s="20" t="n"/>
      <c r="E39" s="20" t="n"/>
      <c r="F39" s="20" t="n"/>
      <c r="G39" s="20" t="n"/>
    </row>
    <row r="40">
      <c r="A40" s="23" t="n"/>
      <c r="B40" s="23" t="n"/>
      <c r="C40" s="23" t="n"/>
      <c r="D40" s="23" t="n"/>
      <c r="E40" s="23" t="n"/>
      <c r="F40" s="23" t="n"/>
      <c r="G40" s="23" t="n"/>
    </row>
    <row r="41">
      <c r="A41" s="20" t="n"/>
      <c r="B41" s="20" t="n"/>
      <c r="C41" s="20" t="n"/>
      <c r="D41" s="20" t="n"/>
      <c r="E41" s="20" t="n"/>
      <c r="F41" s="20" t="n"/>
      <c r="G41" s="20" t="n"/>
    </row>
    <row r="42">
      <c r="A42" s="23" t="n"/>
      <c r="B42" s="23" t="n"/>
      <c r="C42" s="23" t="n"/>
      <c r="D42" s="23" t="n"/>
      <c r="E42" s="23" t="n"/>
      <c r="F42" s="23" t="n"/>
      <c r="G42" s="23" t="n"/>
    </row>
    <row r="43">
      <c r="A43" s="20" t="n"/>
      <c r="B43" s="20" t="n"/>
      <c r="C43" s="20" t="n"/>
      <c r="D43" s="20" t="n"/>
      <c r="E43" s="20" t="n"/>
      <c r="F43" s="20" t="n"/>
      <c r="G43" s="20" t="n"/>
    </row>
    <row r="44">
      <c r="A44" s="23" t="n"/>
      <c r="B44" s="23" t="n"/>
      <c r="C44" s="23" t="n"/>
      <c r="D44" s="23" t="n"/>
      <c r="E44" s="23" t="n"/>
      <c r="F44" s="23" t="n"/>
      <c r="G44" s="23" t="n"/>
    </row>
    <row r="45">
      <c r="A45" s="20" t="n"/>
      <c r="B45" s="20" t="n"/>
      <c r="C45" s="20" t="n"/>
      <c r="D45" s="20" t="n"/>
      <c r="E45" s="20" t="n"/>
      <c r="F45" s="20" t="n"/>
      <c r="G45" s="20" t="n"/>
    </row>
    <row r="46">
      <c r="A46" s="23" t="n"/>
      <c r="B46" s="23" t="n"/>
      <c r="C46" s="23" t="n"/>
      <c r="D46" s="23" t="n"/>
      <c r="E46" s="23" t="n"/>
      <c r="F46" s="23" t="n"/>
      <c r="G46" s="23" t="n"/>
    </row>
    <row r="47">
      <c r="A47" s="20" t="n"/>
      <c r="B47" s="20" t="n"/>
      <c r="C47" s="20" t="n"/>
      <c r="D47" s="20" t="n"/>
      <c r="E47" s="20" t="n"/>
      <c r="F47" s="20" t="n"/>
      <c r="G47" s="20" t="n"/>
    </row>
    <row r="48">
      <c r="A48" s="23" t="n"/>
      <c r="B48" s="23" t="n"/>
      <c r="C48" s="23" t="n"/>
      <c r="D48" s="23" t="n"/>
      <c r="E48" s="23" t="n"/>
      <c r="F48" s="23" t="n"/>
      <c r="G48" s="23" t="n"/>
    </row>
    <row r="49">
      <c r="A49" s="20" t="n"/>
      <c r="B49" s="20" t="n"/>
      <c r="C49" s="20" t="n"/>
      <c r="D49" s="20" t="n"/>
      <c r="E49" s="20" t="n"/>
      <c r="F49" s="20" t="n"/>
      <c r="G49" s="20" t="n"/>
    </row>
    <row r="50">
      <c r="A50" s="23" t="n"/>
      <c r="B50" s="23" t="n"/>
      <c r="C50" s="23" t="n"/>
      <c r="D50" s="23" t="n"/>
      <c r="E50" s="23" t="n"/>
      <c r="F50" s="23" t="n"/>
      <c r="G50" s="23" t="n"/>
    </row>
    <row r="51">
      <c r="A51" s="20" t="n"/>
      <c r="B51" s="20" t="n"/>
      <c r="C51" s="20" t="n"/>
      <c r="D51" s="20" t="n"/>
      <c r="E51" s="20" t="n"/>
      <c r="F51" s="20" t="n"/>
      <c r="G51" s="20" t="n"/>
    </row>
    <row r="52">
      <c r="A52" s="23" t="n"/>
      <c r="B52" s="23" t="n"/>
      <c r="C52" s="23" t="n"/>
      <c r="D52" s="23" t="n"/>
      <c r="E52" s="23" t="n"/>
      <c r="F52" s="23" t="n"/>
      <c r="G52" s="23" t="n"/>
    </row>
    <row r="53">
      <c r="A53" s="20" t="n"/>
      <c r="B53" s="20" t="n"/>
      <c r="C53" s="20" t="n"/>
      <c r="D53" s="20" t="n"/>
      <c r="E53" s="20" t="n"/>
      <c r="F53" s="20" t="n"/>
      <c r="G53" s="20" t="n"/>
    </row>
    <row r="54">
      <c r="A54" s="23" t="n"/>
      <c r="B54" s="23" t="n"/>
      <c r="C54" s="23" t="n"/>
      <c r="D54" s="23" t="n"/>
      <c r="E54" s="23" t="n"/>
      <c r="F54" s="23" t="n"/>
      <c r="G54" s="23" t="n"/>
    </row>
    <row r="55">
      <c r="A55" s="20" t="n"/>
      <c r="B55" s="20" t="n"/>
      <c r="C55" s="20" t="n"/>
      <c r="D55" s="20" t="n"/>
      <c r="E55" s="20" t="n"/>
      <c r="F55" s="20" t="n"/>
      <c r="G55" s="20" t="n"/>
    </row>
  </sheetData>
  <mergeCells count="3">
    <mergeCell ref="A3:G3"/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6" customWidth="1" min="4" max="4"/>
    <col width="18" customWidth="1" min="5" max="5"/>
    <col width="14" customWidth="1" min="6" max="6"/>
    <col width="18" customWidth="1" min="7" max="7"/>
    <col width="34" customWidth="1" min="8" max="8"/>
    <col width="38" customWidth="1" min="9" max="9"/>
    <col width="42" customWidth="1" min="10" max="10"/>
    <col width="34" customWidth="1" min="11" max="11"/>
    <col width="14" customWidth="1" min="12" max="12"/>
    <col width="18" customWidth="1" min="13" max="13"/>
    <col width="20" customWidth="1" min="14" max="14"/>
    <col width="16" customWidth="1" min="15" max="15"/>
    <col width="18" customWidth="1" min="16" max="16"/>
  </cols>
  <sheetData>
    <row r="1" ht="30" customHeight="1">
      <c r="A1" s="3" t="inlineStr">
        <is>
          <t>Backlog de incongruências</t>
        </is>
      </c>
    </row>
    <row r="2" ht="24" customHeight="1">
      <c r="A2" s="6" t="inlineStr">
        <is>
          <t>Uma linha por comportamento independente; relacione sempre ao ID do teste.</t>
        </is>
      </c>
    </row>
    <row r="3" ht="34" customHeight="1">
      <c r="A3" s="10" t="inlineStr">
        <is>
          <t>Não cole segredos, dados pessoais, números completos de cartão ou payloads integrais.</t>
        </is>
      </c>
    </row>
    <row r="5" ht="22" customHeight="1">
      <c r="A5" s="16" t="inlineStr">
        <is>
          <t>ID backlog</t>
        </is>
      </c>
      <c r="B5" s="16" t="inlineStr">
        <is>
          <t>Teste origem</t>
        </is>
      </c>
      <c r="C5" s="16" t="inlineStr">
        <is>
          <t>Data</t>
        </is>
      </c>
      <c r="D5" s="16" t="inlineStr">
        <is>
          <t>Unidade</t>
        </is>
      </c>
      <c r="E5" s="16" t="inlineStr">
        <is>
          <t>Integração</t>
        </is>
      </c>
      <c r="F5" s="16" t="inlineStr">
        <is>
          <t>Severidade</t>
        </is>
      </c>
      <c r="G5" s="16" t="inlineStr">
        <is>
          <t>Tipo</t>
        </is>
      </c>
      <c r="H5" s="16" t="inlineStr">
        <is>
          <t>Resumo</t>
        </is>
      </c>
      <c r="I5" s="16" t="inlineStr">
        <is>
          <t>Esperado</t>
        </is>
      </c>
      <c r="J5" s="16" t="inlineStr">
        <is>
          <t>Observado</t>
        </is>
      </c>
      <c r="K5" s="16" t="inlineStr">
        <is>
          <t>Evidência / link</t>
        </is>
      </c>
      <c r="L5" s="16" t="inlineStr">
        <is>
          <t>SQL usado</t>
        </is>
      </c>
      <c r="M5" s="16" t="inlineStr">
        <is>
          <t>Responsável</t>
        </is>
      </c>
      <c r="N5" s="16" t="inlineStr">
        <is>
          <t>Status</t>
        </is>
      </c>
      <c r="O5" s="16" t="inlineStr">
        <is>
          <t>Issue / PR</t>
        </is>
      </c>
      <c r="P5" s="16" t="inlineStr">
        <is>
          <t>Reteste</t>
        </is>
      </c>
    </row>
    <row r="6" ht="22" customHeight="1">
      <c r="A6" s="23" t="n"/>
      <c r="B6" s="23" t="n"/>
      <c r="C6" s="31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</row>
    <row r="7">
      <c r="A7" s="20" t="n"/>
      <c r="B7" s="20" t="n"/>
      <c r="C7" s="32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</row>
    <row r="8">
      <c r="A8" s="23" t="n"/>
      <c r="B8" s="23" t="n"/>
      <c r="C8" s="31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</row>
    <row r="9">
      <c r="A9" s="20" t="n"/>
      <c r="B9" s="20" t="n"/>
      <c r="C9" s="32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</row>
    <row r="10">
      <c r="A10" s="23" t="n"/>
      <c r="B10" s="23" t="n"/>
      <c r="C10" s="31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</row>
    <row r="11">
      <c r="A11" s="20" t="n"/>
      <c r="B11" s="20" t="n"/>
      <c r="C11" s="32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</row>
    <row r="12">
      <c r="A12" s="23" t="n"/>
      <c r="B12" s="23" t="n"/>
      <c r="C12" s="31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</row>
    <row r="13">
      <c r="A13" s="20" t="n"/>
      <c r="B13" s="20" t="n"/>
      <c r="C13" s="32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</row>
    <row r="14">
      <c r="A14" s="23" t="n"/>
      <c r="B14" s="23" t="n"/>
      <c r="C14" s="31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</row>
    <row r="15">
      <c r="A15" s="20" t="n"/>
      <c r="B15" s="20" t="n"/>
      <c r="C15" s="32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</row>
    <row r="16">
      <c r="A16" s="23" t="n"/>
      <c r="B16" s="23" t="n"/>
      <c r="C16" s="31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</row>
    <row r="17">
      <c r="A17" s="20" t="n"/>
      <c r="B17" s="20" t="n"/>
      <c r="C17" s="32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</row>
    <row r="18">
      <c r="A18" s="23" t="n"/>
      <c r="B18" s="23" t="n"/>
      <c r="C18" s="31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</row>
    <row r="19">
      <c r="A19" s="20" t="n"/>
      <c r="B19" s="20" t="n"/>
      <c r="C19" s="32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</row>
    <row r="20">
      <c r="A20" s="23" t="n"/>
      <c r="B20" s="23" t="n"/>
      <c r="C20" s="31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</row>
    <row r="21">
      <c r="A21" s="20" t="n"/>
      <c r="B21" s="20" t="n"/>
      <c r="C21" s="32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>
      <c r="A22" s="23" t="n"/>
      <c r="B22" s="23" t="n"/>
      <c r="C22" s="31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</row>
    <row r="23">
      <c r="A23" s="20" t="n"/>
      <c r="B23" s="20" t="n"/>
      <c r="C23" s="32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</row>
    <row r="24">
      <c r="A24" s="23" t="n"/>
      <c r="B24" s="23" t="n"/>
      <c r="C24" s="31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</row>
    <row r="25">
      <c r="A25" s="20" t="n"/>
      <c r="B25" s="20" t="n"/>
      <c r="C25" s="32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</row>
    <row r="26">
      <c r="A26" s="23" t="n"/>
      <c r="B26" s="23" t="n"/>
      <c r="C26" s="31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</row>
    <row r="27">
      <c r="A27" s="20" t="n"/>
      <c r="B27" s="20" t="n"/>
      <c r="C27" s="32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</row>
    <row r="28">
      <c r="A28" s="23" t="n"/>
      <c r="B28" s="23" t="n"/>
      <c r="C28" s="31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</row>
    <row r="29">
      <c r="A29" s="20" t="n"/>
      <c r="B29" s="20" t="n"/>
      <c r="C29" s="32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</row>
    <row r="30">
      <c r="A30" s="23" t="n"/>
      <c r="B30" s="23" t="n"/>
      <c r="C30" s="31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</row>
    <row r="31">
      <c r="A31" s="20" t="n"/>
      <c r="B31" s="20" t="n"/>
      <c r="C31" s="32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</row>
    <row r="32">
      <c r="A32" s="23" t="n"/>
      <c r="B32" s="23" t="n"/>
      <c r="C32" s="31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</row>
    <row r="33">
      <c r="A33" s="20" t="n"/>
      <c r="B33" s="20" t="n"/>
      <c r="C33" s="32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</row>
    <row r="34">
      <c r="A34" s="23" t="n"/>
      <c r="B34" s="23" t="n"/>
      <c r="C34" s="31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</row>
    <row r="35">
      <c r="A35" s="20" t="n"/>
      <c r="B35" s="20" t="n"/>
      <c r="C35" s="32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</row>
    <row r="36">
      <c r="A36" s="23" t="n"/>
      <c r="B36" s="23" t="n"/>
      <c r="C36" s="31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</row>
    <row r="37">
      <c r="A37" s="20" t="n"/>
      <c r="B37" s="20" t="n"/>
      <c r="C37" s="32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</row>
    <row r="38">
      <c r="A38" s="23" t="n"/>
      <c r="B38" s="23" t="n"/>
      <c r="C38" s="31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</row>
    <row r="39">
      <c r="A39" s="20" t="n"/>
      <c r="B39" s="20" t="n"/>
      <c r="C39" s="32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</row>
    <row r="40">
      <c r="A40" s="23" t="n"/>
      <c r="B40" s="23" t="n"/>
      <c r="C40" s="31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</row>
    <row r="41">
      <c r="A41" s="20" t="n"/>
      <c r="B41" s="20" t="n"/>
      <c r="C41" s="32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</row>
    <row r="42">
      <c r="A42" s="23" t="n"/>
      <c r="B42" s="23" t="n"/>
      <c r="C42" s="31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</row>
    <row r="43">
      <c r="A43" s="20" t="n"/>
      <c r="B43" s="20" t="n"/>
      <c r="C43" s="32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</row>
    <row r="44">
      <c r="A44" s="23" t="n"/>
      <c r="B44" s="23" t="n"/>
      <c r="C44" s="31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</row>
    <row r="45">
      <c r="A45" s="20" t="n"/>
      <c r="B45" s="20" t="n"/>
      <c r="C45" s="32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</row>
    <row r="46">
      <c r="A46" s="23" t="n"/>
      <c r="B46" s="23" t="n"/>
      <c r="C46" s="31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</row>
    <row r="47">
      <c r="A47" s="20" t="n"/>
      <c r="B47" s="20" t="n"/>
      <c r="C47" s="32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</row>
    <row r="48">
      <c r="A48" s="23" t="n"/>
      <c r="B48" s="23" t="n"/>
      <c r="C48" s="31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</row>
    <row r="49">
      <c r="A49" s="20" t="n"/>
      <c r="B49" s="20" t="n"/>
      <c r="C49" s="32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</row>
    <row r="50">
      <c r="A50" s="23" t="n"/>
      <c r="B50" s="23" t="n"/>
      <c r="C50" s="31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</row>
    <row r="51">
      <c r="A51" s="20" t="n"/>
      <c r="B51" s="20" t="n"/>
      <c r="C51" s="32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</row>
    <row r="52">
      <c r="A52" s="23" t="n"/>
      <c r="B52" s="23" t="n"/>
      <c r="C52" s="31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</row>
    <row r="53">
      <c r="A53" s="20" t="n"/>
      <c r="B53" s="20" t="n"/>
      <c r="C53" s="32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</row>
    <row r="54">
      <c r="A54" s="23" t="n"/>
      <c r="B54" s="23" t="n"/>
      <c r="C54" s="31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</row>
    <row r="55">
      <c r="A55" s="20" t="n"/>
      <c r="B55" s="20" t="n"/>
      <c r="C55" s="32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</row>
    <row r="56">
      <c r="A56" s="23" t="n"/>
      <c r="B56" s="23" t="n"/>
      <c r="C56" s="31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</row>
    <row r="57">
      <c r="A57" s="20" t="n"/>
      <c r="B57" s="20" t="n"/>
      <c r="C57" s="32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</row>
    <row r="58">
      <c r="A58" s="23" t="n"/>
      <c r="B58" s="23" t="n"/>
      <c r="C58" s="31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</row>
    <row r="59">
      <c r="A59" s="20" t="n"/>
      <c r="B59" s="20" t="n"/>
      <c r="C59" s="32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</row>
    <row r="60">
      <c r="A60" s="23" t="n"/>
      <c r="B60" s="23" t="n"/>
      <c r="C60" s="31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</row>
    <row r="61">
      <c r="A61" s="20" t="n"/>
      <c r="B61" s="20" t="n"/>
      <c r="C61" s="32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</row>
    <row r="62">
      <c r="A62" s="23" t="n"/>
      <c r="B62" s="23" t="n"/>
      <c r="C62" s="31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</row>
    <row r="63">
      <c r="A63" s="20" t="n"/>
      <c r="B63" s="20" t="n"/>
      <c r="C63" s="32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</row>
    <row r="64">
      <c r="A64" s="23" t="n"/>
      <c r="B64" s="23" t="n"/>
      <c r="C64" s="31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</row>
    <row r="65">
      <c r="A65" s="20" t="n"/>
      <c r="B65" s="20" t="n"/>
      <c r="C65" s="32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</row>
    <row r="66">
      <c r="A66" s="23" t="n"/>
      <c r="B66" s="23" t="n"/>
      <c r="C66" s="31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</row>
    <row r="67">
      <c r="A67" s="20" t="n"/>
      <c r="B67" s="20" t="n"/>
      <c r="C67" s="32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</row>
    <row r="68">
      <c r="A68" s="23" t="n"/>
      <c r="B68" s="23" t="n"/>
      <c r="C68" s="31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</row>
    <row r="69">
      <c r="A69" s="20" t="n"/>
      <c r="B69" s="20" t="n"/>
      <c r="C69" s="32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</row>
    <row r="70">
      <c r="A70" s="23" t="n"/>
      <c r="B70" s="23" t="n"/>
      <c r="C70" s="31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</row>
    <row r="71">
      <c r="A71" s="20" t="n"/>
      <c r="B71" s="20" t="n"/>
      <c r="C71" s="32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</row>
    <row r="72">
      <c r="A72" s="23" t="n"/>
      <c r="B72" s="23" t="n"/>
      <c r="C72" s="31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</row>
    <row r="73">
      <c r="A73" s="20" t="n"/>
      <c r="B73" s="20" t="n"/>
      <c r="C73" s="32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</row>
    <row r="74">
      <c r="A74" s="23" t="n"/>
      <c r="B74" s="23" t="n"/>
      <c r="C74" s="31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</row>
    <row r="75">
      <c r="A75" s="20" t="n"/>
      <c r="B75" s="20" t="n"/>
      <c r="C75" s="32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</row>
    <row r="76">
      <c r="A76" s="23" t="n"/>
      <c r="B76" s="23" t="n"/>
      <c r="C76" s="31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</row>
    <row r="77">
      <c r="A77" s="20" t="n"/>
      <c r="B77" s="20" t="n"/>
      <c r="C77" s="32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</row>
    <row r="78">
      <c r="A78" s="23" t="n"/>
      <c r="B78" s="23" t="n"/>
      <c r="C78" s="31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</row>
    <row r="79">
      <c r="A79" s="20" t="n"/>
      <c r="B79" s="20" t="n"/>
      <c r="C79" s="32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</row>
    <row r="80">
      <c r="A80" s="23" t="n"/>
      <c r="B80" s="23" t="n"/>
      <c r="C80" s="31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</row>
    <row r="81">
      <c r="A81" s="20" t="n"/>
      <c r="B81" s="20" t="n"/>
      <c r="C81" s="32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</row>
    <row r="82">
      <c r="A82" s="23" t="n"/>
      <c r="B82" s="23" t="n"/>
      <c r="C82" s="31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</row>
    <row r="83">
      <c r="A83" s="20" t="n"/>
      <c r="B83" s="20" t="n"/>
      <c r="C83" s="32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</row>
    <row r="84">
      <c r="A84" s="23" t="n"/>
      <c r="B84" s="23" t="n"/>
      <c r="C84" s="31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</row>
    <row r="85">
      <c r="A85" s="20" t="n"/>
      <c r="B85" s="20" t="n"/>
      <c r="C85" s="32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</row>
    <row r="86">
      <c r="A86" s="23" t="n"/>
      <c r="B86" s="23" t="n"/>
      <c r="C86" s="31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</row>
    <row r="87">
      <c r="A87" s="20" t="n"/>
      <c r="B87" s="20" t="n"/>
      <c r="C87" s="32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</row>
    <row r="88">
      <c r="A88" s="23" t="n"/>
      <c r="B88" s="23" t="n"/>
      <c r="C88" s="31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</row>
    <row r="89">
      <c r="A89" s="20" t="n"/>
      <c r="B89" s="20" t="n"/>
      <c r="C89" s="32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</row>
    <row r="90">
      <c r="A90" s="23" t="n"/>
      <c r="B90" s="23" t="n"/>
      <c r="C90" s="31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</row>
    <row r="91">
      <c r="A91" s="20" t="n"/>
      <c r="B91" s="20" t="n"/>
      <c r="C91" s="32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</row>
    <row r="92">
      <c r="A92" s="23" t="n"/>
      <c r="B92" s="23" t="n"/>
      <c r="C92" s="31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</row>
    <row r="93">
      <c r="A93" s="20" t="n"/>
      <c r="B93" s="20" t="n"/>
      <c r="C93" s="32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</row>
    <row r="94">
      <c r="A94" s="23" t="n"/>
      <c r="B94" s="23" t="n"/>
      <c r="C94" s="31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</row>
    <row r="95">
      <c r="A95" s="20" t="n"/>
      <c r="B95" s="20" t="n"/>
      <c r="C95" s="32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</row>
    <row r="96">
      <c r="A96" s="23" t="n"/>
      <c r="B96" s="23" t="n"/>
      <c r="C96" s="31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</row>
    <row r="97">
      <c r="A97" s="20" t="n"/>
      <c r="B97" s="20" t="n"/>
      <c r="C97" s="32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</row>
    <row r="98">
      <c r="A98" s="23" t="n"/>
      <c r="B98" s="23" t="n"/>
      <c r="C98" s="31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</row>
    <row r="99">
      <c r="A99" s="20" t="n"/>
      <c r="B99" s="20" t="n"/>
      <c r="C99" s="32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</row>
    <row r="100">
      <c r="A100" s="23" t="n"/>
      <c r="B100" s="23" t="n"/>
      <c r="C100" s="31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</row>
    <row r="101">
      <c r="A101" s="20" t="n"/>
      <c r="B101" s="20" t="n"/>
      <c r="C101" s="32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</row>
    <row r="102">
      <c r="A102" s="23" t="n"/>
      <c r="B102" s="23" t="n"/>
      <c r="C102" s="31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</row>
    <row r="103">
      <c r="A103" s="20" t="n"/>
      <c r="B103" s="20" t="n"/>
      <c r="C103" s="32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</row>
    <row r="104">
      <c r="A104" s="23" t="n"/>
      <c r="B104" s="23" t="n"/>
      <c r="C104" s="31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</row>
    <row r="105">
      <c r="A105" s="20" t="n"/>
      <c r="B105" s="20" t="n"/>
      <c r="C105" s="32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</row>
  </sheetData>
  <mergeCells count="3">
    <mergeCell ref="A1:P1"/>
    <mergeCell ref="A3:P3"/>
    <mergeCell ref="A2:P2"/>
  </mergeCells>
  <conditionalFormatting sqref="P6:P105">
    <cfRule type="containsText" priority="1" operator="containsText" dxfId="0" text="Aprovado"/>
    <cfRule type="containsText" priority="2" operator="containsText" dxfId="1" text="Falhou"/>
    <cfRule type="containsText" priority="3" operator="containsText" dxfId="2" text="Bloqueado"/>
    <cfRule type="containsText" priority="4" operator="containsText" dxfId="3" text="Em execução"/>
  </conditionalFormatting>
  <conditionalFormatting sqref="N6:N105">
    <cfRule type="containsText" priority="5" operator="containsText" dxfId="0" text="Fechado"/>
  </conditionalFormatting>
  <conditionalFormatting sqref="F6:F105">
    <cfRule type="containsText" priority="6" operator="containsText" dxfId="1" text="Crítica"/>
  </conditionalFormatting>
  <dataValidations count="4">
    <dataValidation sqref="F6:F105" showDropDown="0" showInputMessage="0" showErrorMessage="0" allowBlank="0" type="list">
      <formula1>"Crítica,Alta,Média,Baixa"</formula1>
    </dataValidation>
    <dataValidation sqref="G6:G105" showDropDown="0" showInputMessage="0" showErrorMessage="0" allowBlank="0" type="list">
      <formula1>"Funcional,Integração,UX,Dados,Segurança,Performance,Ambiente,Documentação"</formula1>
    </dataValidation>
    <dataValidation sqref="N6:N105" showDropDown="0" showInputMessage="0" showErrorMessage="0" allowBlank="0" type="list">
      <formula1>"Novo,Em análise,Em correção,Pronto para reteste,Fechado,Descartado"</formula1>
    </dataValidation>
    <dataValidation sqref="P6:P105" showDropDown="0" showInputMessage="0" showErrorMessage="0" allowBlank="0" type="list">
      <formula1>"Não retestado,Aprovado,Falhou,Bloqueado"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2026-10-12T21:05:26Z</dcterms:created>
  <dcterms:modified xsi:type="dcterms:W3CDTF">2026-10-12T21:07:40Z</dcterms:modified>
</cp:coreProperties>
</file>